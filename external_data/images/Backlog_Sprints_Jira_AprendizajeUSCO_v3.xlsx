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4"/>
  </bookViews>
  <sheets>
    <sheet name="Instrucciones" sheetId="1" state="visible" r:id="rId3"/>
    <sheet name="Resumen de sprints" sheetId="2" state="visible" r:id="rId4"/>
    <sheet name="Carga por integrante" sheetId="3" state="visible" r:id="rId5"/>
    <sheet name="Épicas" sheetId="4" state="visible" r:id="rId6"/>
    <sheet name="Backlog" sheetId="5" state="visible" r:id="rId7"/>
  </sheets>
  <definedNames>
    <definedName function="false" hidden="true" localSheetId="4" name="_xlnm._FilterDatabase" vbProcedure="false">Backlog!$A$1:$S$150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<sst xmlns="http://schemas.openxmlformats.org/spreadsheetml/2006/main" count="1982" uniqueCount="640">
  <si>
    <t xml:space="preserve">Backlog de desarrollo — Aprendizaje USCO</t>
  </si>
  <si>
    <t xml:space="preserve">Sprints, épicas, tareas y subtareas para importar/replicar en Jira (versión 3, 30/09/2026)</t>
  </si>
  <si>
    <t xml:space="preserve">Equipo:</t>
  </si>
  <si>
    <t xml:space="preserve">Juan David Polanco Ortiz · Nicolás Pérez Varón · Jorel Sebastian Vargas Ibarra · Fernando Andrés Pérez Polanco</t>
  </si>
  <si>
    <t xml:space="preserve">Fecha de entrega del MVP:</t>
  </si>
  <si>
    <t xml:space="preserve">jueves 12 de noviembre de 2026 (congelamiento del MVP; sustentación el 15 de noviembre)</t>
  </si>
  <si>
    <t xml:space="preserve">Duración de sprint:</t>
  </si>
  <si>
    <t xml:space="preserve">11 a 12 días (4 sprints, del 28 de septiembre al 12 de noviembre de 2026). Replanificado el 28/09/2026: el Sprint 1 original (16 sep – 1 oct) no alcanzó a iniciar.</t>
  </si>
  <si>
    <t xml:space="preserve">Capacidad estimada del equipo:</t>
  </si>
  <si>
    <t xml:space="preserve">4 integrantes x ~15 h/semana c/u ≈ 94-103 h por sprint (ver hoja "Carga por integrante")</t>
  </si>
  <si>
    <t xml:space="preserve">Cómo usar este archivo</t>
  </si>
  <si>
    <t xml:space="preserve">1. La hoja "Backlog" trae una fila por historia/tarea y, debajo, sus subtareas (fondo gris, columna "ID padre"). Cada fila tiene descripción, criterios de aceptación, responsable, etiquetas y fechas.</t>
  </si>
  <si>
    <t xml:space="preserve">2. Importación CSV en Jira: exporten la hoja Backlog a CSV (UTF-8) y en el asistente mapeen ID → Issue Id, ID padre → Parent Id, Tipo → Issue Type (use los nombres de su Jira: Historia/Tarea/Subtarea), Resumen → Summary, "Descripción completa (para Jira)" → Description, Estimación (h) → Original Estimate (en horas), Fecha fin → Due date, Prioridad → Priority, Responsable → Assignee, Etiquetas → Labels, Sprint → Sprint (los sprints deben existir antes con el mismo nombre). Las épicas se enlazan con la columna Épica (Epic Link / Parent según el tipo de proyecto). Si ya crearon las tarjetas a mano, usen esta hoja para crear las subtareas y copiar descripciones y criterios.</t>
  </si>
  <si>
    <t xml:space="preserve">3. Responsables: cada subtarea tiene su propio responsable (por ejemplo, el login tiene subtareas de backend para Jorel y de frontend para Fernando). La hoja "Carga por integrante" suma subtareas y tareas sin subtareas.</t>
  </si>
  <si>
    <t xml:space="preserve">4. Estimaciones: solo llevan horas las subtareas y las tareas sin subtareas; la columna "Total con subtareas" muestra la suma del padre. Jira también suma las subtareas en el padre (Σ).</t>
  </si>
  <si>
    <t xml:space="preserve">5. La columna "Requisito relacionado" enlaza cada tarea con el RF-xx / RNF-xx / CA-xx ya definidos en los capítulos 3 y 4 del informe, para mantener trazabilidad entre lo planeado y lo implementado.</t>
  </si>
  <si>
    <t xml:space="preserve">6. La columna "Descripción" detalla qué debe quedar hecho en cada tarea; úsenla como base de la descripción de la tarjeta en Jira y, si hace falta, descompónganla en subtareas.</t>
  </si>
  <si>
    <t xml:space="preserve">7. Actualicen "Estado" (Por hacer / En curso / En revisión / Hecho). Las filas marcadas "Nueva en v3" en la nota no existían en la versión anterior.</t>
  </si>
  <si>
    <t xml:space="preserve">Sprint</t>
  </si>
  <si>
    <t xml:space="preserve">Periodo</t>
  </si>
  <si>
    <t xml:space="preserve">Objetivo del sprint</t>
  </si>
  <si>
    <t xml:space="preserve">Épicas incluidas</t>
  </si>
  <si>
    <t xml:space="preserve">Horas estimadas (backlog)</t>
  </si>
  <si>
    <t xml:space="preserve">Entregable principal</t>
  </si>
  <si>
    <t xml:space="preserve">Sprint 1</t>
  </si>
  <si>
    <t xml:space="preserve">28 sep – 8 oct 2026</t>
  </si>
  <si>
    <t xml:space="preserve">Dejar lista la infraestructura del proyecto (repositorio, entornos, base de datos, autenticación) e iniciar el módulo de diagnóstico.</t>
  </si>
  <si>
    <t xml:space="preserve">EPIC-1, EPIC-2 (inicio)</t>
  </si>
  <si>
    <t xml:space="preserve">Entorno de desarrollo funcional, autenticación por rol operativa y modelo de datos del diagnóstico creado.</t>
  </si>
  <si>
    <t xml:space="preserve">Sprint 2</t>
  </si>
  <si>
    <t xml:space="preserve">9 oct – 20 oct 2026</t>
  </si>
  <si>
    <t xml:space="preserve">Completar el módulo de diagnóstico (aplicación, calificación y categorización), iniciar el motor de práctica adaptativa y definir el protocolo de usabilidad.</t>
  </si>
  <si>
    <t xml:space="preserve">EPIC-2 (cierre), EPIC-3 (inicio), EPIC-7 (inicio)</t>
  </si>
  <si>
    <t xml:space="preserve">Prueba diagnóstica funcional de extremo a extremo y banco de ejercicios modelado.</t>
  </si>
  <si>
    <t xml:space="preserve">Sprint 3</t>
  </si>
  <si>
    <t xml:space="preserve">21 oct – 1 nov 2026</t>
  </si>
  <si>
    <t xml:space="preserve">Terminar la práctica adaptativa con retroalimentación inmediata, construir los tableros de seguimiento y analítica, e iniciar la gestión de contenidos.</t>
  </si>
  <si>
    <t xml:space="preserve">EPIC-3 (cierre), EPIC-4, EPIC-5 (inicio), EPIC-7 (rendimiento)</t>
  </si>
  <si>
    <t xml:space="preserve">Módulo de ejercicios interactivos operativo y dashboards de estudiante/docente con datos reales.</t>
  </si>
  <si>
    <t xml:space="preserve">Sprint 4</t>
  </si>
  <si>
    <t xml:space="preserve">2 nov – 12 nov 2026</t>
  </si>
  <si>
    <t xml:space="preserve">Cerrar administración, integrar todos los módulos, ejecutar pruebas de seguridad, concurrencia y validación con usuarios, y empaquetar la entrega del MVP.</t>
  </si>
  <si>
    <t xml:space="preserve">EPIC-5 (cierre), EPIC-6, EPIC-7 (cierre)</t>
  </si>
  <si>
    <t xml:space="preserve">MVP integrado, probado frente a los 16 criterios de aceptación y validado con usuarios piloto — listo para sustentación.</t>
  </si>
  <si>
    <t xml:space="preserve">Total</t>
  </si>
  <si>
    <t xml:space="preserve">Horas ya completadas (Estado = Hecho)</t>
  </si>
  <si>
    <t xml:space="preserve">Las horas se suman sobre las filas con estimación propia (subtareas y tareas sin subtareas), así no se cuentan dos veces.</t>
  </si>
  <si>
    <t xml:space="preserve">Carga estimada por integrante y sprint (horas)</t>
  </si>
  <si>
    <t xml:space="preserve">Se calcula desde la hoja Backlog (columnas Sprint, Estimación y Responsable, incluidas las subtareas). Si reasignan una tarea o subtarea, esta tabla se actualiza sola.</t>
  </si>
  <si>
    <t xml:space="preserve">Integrante</t>
  </si>
  <si>
    <t xml:space="preserve">Rol principal</t>
  </si>
  <si>
    <t xml:space="preserve">Total (h)</t>
  </si>
  <si>
    <t xml:space="preserve">Promedio h/semana</t>
  </si>
  <si>
    <t xml:space="preserve">Jorel Vargas</t>
  </si>
  <si>
    <t xml:space="preserve">Backend tecnico: repositorios, arquitectura, autenticación/seguridad, motor adaptativo, historial, administración, entrega.</t>
  </si>
  <si>
    <t xml:space="preserve">Juan David Polanco</t>
  </si>
  <si>
    <t xml:space="preserve">Backend y datos: esquema PostgreSQL y migraciones, servicios de diagnóstico, intentos e indicadores, integración y corrección de incidencias.</t>
  </si>
  <si>
    <t xml:space="preserve">Nicolás Pérez</t>
  </si>
  <si>
    <t xml:space="preserve">Frontend: tema, enrutador y layouts, staging, pantallas de diagnóstico y práctica, MathText, panel admin, accesibilidad y documentación.</t>
  </si>
  <si>
    <t xml:space="preserve">Fernando Pérez</t>
  </si>
  <si>
    <t xml:space="preserve">Frontend y calidad: login y sesión, CI, banco de ítems y ejercicios, categorización, dashboards, pruebas, usabilidad (SUS) y validación piloto.</t>
  </si>
  <si>
    <t xml:space="preserve">Total equipo</t>
  </si>
  <si>
    <t xml:space="preserve">Capacidad del equipo</t>
  </si>
  <si>
    <t xml:space="preserve">Días del sprint / 7 × h por semana × 4 integrantes</t>
  </si>
  <si>
    <t xml:space="preserve">Holgura (capacidad − carga)</t>
  </si>
  <si>
    <t xml:space="preserve">Negativo = sprint sobrecargado</t>
  </si>
  <si>
    <t xml:space="preserve">Días por sprint</t>
  </si>
  <si>
    <t xml:space="preserve">Días calendario de cada sprint (fechas de la hoja Resumen de sprints)</t>
  </si>
  <si>
    <t xml:space="preserve">Semanas totales</t>
  </si>
  <si>
    <t xml:space="preserve">28 sep – 12 nov 2026</t>
  </si>
  <si>
    <t xml:space="preserve">h/semana por persona</t>
  </si>
  <si>
    <t xml:space="preserve">Supuesto editable (el backlog original planteaba 12-15 h/semana)</t>
  </si>
  <si>
    <t xml:space="preserve">Celdas en azul con fondo amarillo: supuestos que pueden ajustar.</t>
  </si>
  <si>
    <t xml:space="preserve">ID</t>
  </si>
  <si>
    <t xml:space="preserve">Nombre de la épica</t>
  </si>
  <si>
    <t xml:space="preserve">Descripción</t>
  </si>
  <si>
    <t xml:space="preserve">Requisitos relacionados (cap. 3-4)</t>
  </si>
  <si>
    <t xml:space="preserve">Sprints</t>
  </si>
  <si>
    <t xml:space="preserve">EPIC-1</t>
  </si>
  <si>
    <t xml:space="preserve">Configuración base, infraestructura y autenticación</t>
  </si>
  <si>
    <t xml:space="preserve">Repositorio, entornos de frontend/backend, esquema inicial de base de datos, autenticación y control de acceso por rol.</t>
  </si>
  <si>
    <t xml:space="preserve">RF-01, RNF-03</t>
  </si>
  <si>
    <t xml:space="preserve">EPIC-2</t>
  </si>
  <si>
    <t xml:space="preserve">Módulo de diagnóstico</t>
  </si>
  <si>
    <t xml:space="preserve">Aplicación de la prueba diagnóstica, cálculo automático del puntaje y asignación de categoría de desempeño.</t>
  </si>
  <si>
    <t xml:space="preserve">RF-02, RF-03, RF-04</t>
  </si>
  <si>
    <t xml:space="preserve">Sprint 1 - Sprint 2</t>
  </si>
  <si>
    <t xml:space="preserve">EPIC-3</t>
  </si>
  <si>
    <t xml:space="preserve">Práctica adaptativa y retroalimentación</t>
  </si>
  <si>
    <t xml:space="preserve">Banco de ejercicios por competencia, motor de asignación según desempeño, retroalimentación inmediata y registro de intentos.</t>
  </si>
  <si>
    <t xml:space="preserve">RF-05, RF-06, RF-07, RF-08, RF-14, RF-16</t>
  </si>
  <si>
    <t xml:space="preserve">Sprint 2 - Sprint 3</t>
  </si>
  <si>
    <t xml:space="preserve">EPIC-4</t>
  </si>
  <si>
    <t xml:space="preserve">Seguimiento del progreso y analítica de aprendizaje</t>
  </si>
  <si>
    <t xml:space="preserve">Indicadores de progreso, dashboard para estudiantes y docentes, historial de resultados e indicadores derivados de analítica. Incluye grupos y asociación docente–estudiante (nuevo en v3).</t>
  </si>
  <si>
    <t xml:space="preserve">RF-09, RF-10, RF-11, RF-15</t>
  </si>
  <si>
    <t xml:space="preserve">EPIC-5</t>
  </si>
  <si>
    <t xml:space="preserve">Gestión de contenidos y administración</t>
  </si>
  <si>
    <t xml:space="preserve">Gestión de actividades/contenidos por el docente y administración de usuarios y roles por el administrador.</t>
  </si>
  <si>
    <t xml:space="preserve">RF-12, RF-13</t>
  </si>
  <si>
    <t xml:space="preserve">Sprint 3 - Sprint 4</t>
  </si>
  <si>
    <t xml:space="preserve">EPIC-6</t>
  </si>
  <si>
    <t xml:space="preserve">Integración, pruebas y validación del MVP</t>
  </si>
  <si>
    <t xml:space="preserve">Integración end-to-end, pruebas funcionales frente a los criterios de aceptación, validación con usuarios piloto, documentación y cierre de la entrega.</t>
  </si>
  <si>
    <t xml:space="preserve">CA-01 a CA-16</t>
  </si>
  <si>
    <t xml:space="preserve">EPIC-7</t>
  </si>
  <si>
    <t xml:space="preserve">Calidad: usabilidad, rendimiento y seguridad</t>
  </si>
  <si>
    <t xml:space="preserve">Protocolo y medición de usabilidad, pruebas de rendimiento de servicios críticos, hardening de seguridad por rol y prueba de concurrencia.</t>
  </si>
  <si>
    <t xml:space="preserve">RNF-01, RNF-02, RNF-03, RNF-04</t>
  </si>
  <si>
    <t xml:space="preserve">Sprint 2 - Sprint 4</t>
  </si>
  <si>
    <t xml:space="preserve">ID padre</t>
  </si>
  <si>
    <t xml:space="preserve">Tipo</t>
  </si>
  <si>
    <t xml:space="preserve">Épica</t>
  </si>
  <si>
    <t xml:space="preserve">Resumen (Summary)</t>
  </si>
  <si>
    <t xml:space="preserve">Criterios de aceptación</t>
  </si>
  <si>
    <t xml:space="preserve">Requisito relacionado</t>
  </si>
  <si>
    <t xml:space="preserve">Estimación (h)</t>
  </si>
  <si>
    <t xml:space="preserve">Total con subtareas (h)</t>
  </si>
  <si>
    <t xml:space="preserve">Fecha inicio</t>
  </si>
  <si>
    <t xml:space="preserve">Fecha fin</t>
  </si>
  <si>
    <t xml:space="preserve">Prioridad</t>
  </si>
  <si>
    <t xml:space="preserve">Estado</t>
  </si>
  <si>
    <t xml:space="preserve">Responsable (Assignee)</t>
  </si>
  <si>
    <t xml:space="preserve">Etiquetas (Labels)</t>
  </si>
  <si>
    <t xml:space="preserve">Nota de coordinación</t>
  </si>
  <si>
    <t xml:space="preserve">Descripción completa (para Jira)</t>
  </si>
  <si>
    <t xml:space="preserve">Tarea</t>
  </si>
  <si>
    <t xml:space="preserve">Crear repositorio y flujo de trabajo Git</t>
  </si>
  <si>
    <t xml:space="preserve">Organización de GitHub, repositorios aprendizaje-usco-backend y aprendizaje-usco-frontend, ramas main y develop, develop como rama por defecto, rulesets (PR obligatorio, 1 aprobación, sin force push) e invitación del equipo.</t>
  </si>
  <si>
    <t xml:space="preserve">• Ambos repositorios existen en la organización con main y develop.
• No se puede hacer push directo a main ni a develop.
• Los cuatro integrantes tienen permiso de escritura.</t>
  </si>
  <si>
    <t xml:space="preserve">-</t>
  </si>
  <si>
    <t xml:space="preserve">28/09/2026</t>
  </si>
  <si>
    <t xml:space="preserve">08/10/2026</t>
  </si>
  <si>
    <t xml:space="preserve">Alta</t>
  </si>
  <si>
    <t xml:space="preserve">Hecho</t>
  </si>
  <si>
    <t xml:space="preserve">devops</t>
  </si>
  <si>
    <t xml:space="preserve">Documentación base de los repositorios</t>
  </si>
  <si>
    <t xml:space="preserve">README.md de backend y frontend (instalación, comandos, variables de entorno, estructura, responsables, problemas frecuentes), CONTRIBUTING.md común y plantilla de pull request en .github/.</t>
  </si>
  <si>
    <t xml:space="preserve">• Un integrante nuevo puede levantar ambos proyectos siguiendo solo los README.
• La plantilla de PR aparece al abrir un pull request.</t>
  </si>
  <si>
    <t xml:space="preserve">Media</t>
  </si>
  <si>
    <t xml:space="preserve">docs</t>
  </si>
  <si>
    <t xml:space="preserve">Nueva en v3</t>
  </si>
  <si>
    <t xml:space="preserve">Configurar proyecto backend (Spring Boot)</t>
  </si>
  <si>
    <t xml:space="preserve">Proyecto Spring Boot 4.1 / Java 21 generado con Initializr, organizado por módulo funcional con capas internas (controller, service, repository, dto, entity), perfiles dev/test y conexión a PostgreSQL con Docker Compose.</t>
  </si>
  <si>
    <t xml:space="preserve">• ./mvnw spring-boot:run levanta la API y /actuator/health responde UP.
• Swagger UI carga en /swagger-ui.html.
• Cualquier error de la API responde con el formato JSON estándar.</t>
  </si>
  <si>
    <t xml:space="preserve">En curso</t>
  </si>
  <si>
    <t xml:space="preserve">backend</t>
  </si>
  <si>
    <t xml:space="preserve">Subtarea</t>
  </si>
  <si>
    <t xml:space="preserve">Generar el proyecto con Initializr y sus dependencias</t>
  </si>
  <si>
    <t xml:space="preserve">Spring Web, Data JPA, PostgreSQL, Flyway, Security, OAuth2 Resource Server, Validation, Lombok, DevTools, Actuator, Docker Compose, Testcontainers + springdoc 3.x.</t>
  </si>
  <si>
    <t xml:space="preserve">• Compila y la prueba generada pasa.</t>
  </si>
  <si>
    <t xml:space="preserve">Configurar perfiles, compose.yaml y application.yml</t>
  </si>
  <si>
    <t xml:space="preserve">application.yml común, application-dev.yml, application-test.yml, PostgreSQL 17 en compose.yaml, ddl-auto: validate.</t>
  </si>
  <si>
    <t xml:space="preserve">• La app conecta a PostgreSQL local en perfil dev.</t>
  </si>
  <si>
    <t xml:space="preserve">Crear estructura de paquetes y SecurityConfig mínima</t>
  </si>
  <si>
    <t xml:space="preserve">Paquetes config, security, common, usuario, diagnostico, practica, contenido, progreso, analitica. SecurityConfig con rutas públicas (/api/auth/**, health, Swagger).</t>
  </si>
  <si>
    <t xml:space="preserve">• Health y Swagger accesibles sin token; el resto devuelve 401.</t>
  </si>
  <si>
    <t xml:space="preserve">Manejador global de errores y formato estándar</t>
  </si>
  <si>
    <t xml:space="preserve">En common/: clase ErrorResponse (timestamp, status, message, path), @RestControllerAdvice que traduce MethodArgumentNotValidException (400, con los campos inválidos), EntityNotFound/ResourceNotFound propia (404), DataIntegrityViolation (409) y Exception genérica (500 sin exponer la traza). Excepciones propias: RecursoNoEncontradoException, ConflictoException, ReglaNegocioException.</t>
  </si>
  <si>
    <t xml:space="preserve">• Un DTO inválido devuelve 400 con la lista de campos y mensajes.
• Un id inexistente devuelve 404 con el formato estándar.
• Un error inesperado devuelve 500 sin stack trace en la respuesta.</t>
  </si>
  <si>
    <t xml:space="preserve">02/10/2026</t>
  </si>
  <si>
    <t xml:space="preserve">04/10/2026</t>
  </si>
  <si>
    <t xml:space="preserve">Por hacer</t>
  </si>
  <si>
    <t xml:space="preserve">Configurar CORS y seguridad Bearer en Swagger</t>
  </si>
  <si>
    <t xml:space="preserve">CorsConfigurationSource leyendo app.cors.allowed-origins (métodos GET, POST, PUT, PATCH, DELETE; header Authorization). En OpenAPI, esquema de seguridad bearerAuth (JWT) para poder probar endpoints protegidos con el botón Authorize.</t>
  </si>
  <si>
    <t xml:space="preserve">• El frontend en localhost:5173 consume la API sin errores de CORS.
• Desde Swagger se puede pegar un token y llamar un endpoint protegido.</t>
  </si>
  <si>
    <t xml:space="preserve">30/09/2026</t>
  </si>
  <si>
    <t xml:space="preserve">01/10/2026</t>
  </si>
  <si>
    <t xml:space="preserve">Configurar proyecto frontend (React)</t>
  </si>
  <si>
    <t xml:space="preserve">Proyecto Vite 8 + React en JavaScript con react-router, axios, MUI, recharts, KaTeX, react-hook-form y zod; estructura por features; enrutador con todas las rutas del README; layouts por rol y tema institucional.</t>
  </si>
  <si>
    <t xml:space="preserve">• npm run dev, lint y build sin errores.
• Todas las rutas del README existen (aunque sea con página provisional) y cada rol ve su propio menú.
• La interfaz usa los colores USCO desde el tema, no colores sueltos.</t>
  </si>
  <si>
    <t xml:space="preserve">frontend</t>
  </si>
  <si>
    <t xml:space="preserve">Jorel creó el esqueleto; Nicolás completa enrutador, layouts y tema.</t>
  </si>
  <si>
    <t xml:space="preserve">Crear proyecto con Vite, librerías, estructura, .env y cliente axios</t>
  </si>
  <si>
    <t xml:space="preserve">Plantilla react, dependencias de la guía, carpetas api/ routes/ context/ layouts/ features/ components/ theme/ utils/, VITE_API_URL, api/client.js con interceptor de token, Prettier.</t>
  </si>
  <si>
    <t xml:space="preserve">• El proyecto corre en localhost:5173.</t>
  </si>
  <si>
    <t xml:space="preserve">Tema de MUI con los colores USCO</t>
  </si>
  <si>
    <t xml:space="preserve">theme/theme.js: palette.primary con el rojo/vino institucional y palette.secondary tomados del prototipo HTML; tipografía, border radius y breakpoints; CssBaseline. Verificar contraste de texto sobre primary (mínimo 4.5:1, WCAG AA) con un verificador de contraste.</t>
  </si>
  <si>
    <t xml:space="preserve">• ThemeProvider envuelve la app en main.jsx.
• Botones, AppBar y enlaces toman el color del tema.
• El contraste texto/fondo de los colores principales cumple 4.5:1.</t>
  </si>
  <si>
    <t xml:space="preserve">Enrutador con rutas públicas, protegidas y páginas provisionales</t>
  </si>
  <si>
    <t xml:space="preserve">routes/AppRouter.jsx con las rutas del README (/login, /estudiante/*, /docente/*, /admin, /no-autorizado, 404). Cada ruta protegida envuelta en ProtectedRoute con su rol. Páginas provisionales (título + "en construcción") por pantalla, para que cada integrante reemplace la suya. Página NoAutorizado y NotFound. "/" redirige según el rol o a /login.</t>
  </si>
  <si>
    <t xml:space="preserve">• Navegar a una ruta sin sesión lleva a /login.
• Un ESTUDIANTE que entra a /docente ve /no-autorizado.
• Una URL inexistente muestra la página 404.</t>
  </si>
  <si>
    <t xml:space="preserve">Layouts por rol con navegación responsive</t>
  </si>
  <si>
    <t xml:space="preserve">layouts/EstudianteLayout, DocenteLayout y AdminLayout: AppBar con nombre del usuario y cerrar sesión, menú lateral con las opciones del rol (Drawer permanente en escritorio, temporal en móvil) y &lt;Outlet/&gt; para el contenido. Accesibilidad: landmarks (header, nav, main), enlace "Saltar al contenido", foco visible, menú operable con teclado.</t>
  </si>
  <si>
    <t xml:space="preserve">• Cada rol ve solo sus opciones de menú.
• En 375 px de ancho el menú se abre como cajón y no hay scroll horizontal.
• Todo el menú se recorre con Tab y se activa con Enter.</t>
  </si>
  <si>
    <t xml:space="preserve">Diseñar y crear el esquema inicial de base de datos</t>
  </si>
  <si>
    <t xml:space="preserve">Modelo físico y migración Flyway de las tablas base (rol, usuario, competencia), a partir del modelo conceptual del capítulo 4, más sus entidades JPA y los datos semilla necesarios para desarrollar.</t>
  </si>
  <si>
    <t xml:space="preserve">• Al arrancar en limpio, Flyway crea las tablas y la app arranca con ddl-auto: validate sin errores.
• Existen los 3 roles, las 3 competencias y un usuario de prueba por rol.
• La prueba de integración del esquema pasa en CI.</t>
  </si>
  <si>
    <t xml:space="preserve">backend bd</t>
  </si>
  <si>
    <t xml:space="preserve">Definir el modelo físico de rol, usuario y competencia</t>
  </si>
  <si>
    <t xml:space="preserve">Documentar en la tarjeta: rol(id, nombre UNIQUE: ESTUDIANTE, DOCENTE, ADMIN); usuario(id, nombres, apellidos, correo UNIQUE, password_hash, rol_id FK, programa_academico NULL, estado ACTIVO/INACTIVO, creado_en, actualizado_en); competencia(id, codigo UNIQUE: ALGEBRAICA, LOGICA, FUNCIONAL, nombre, descripcion). Tipos: BIGINT GENERATED ALWAYS AS IDENTITY, VARCHAR con longitudes, TIMESTAMPTZ. Convención: tablas y columnas en snake_case singular.</t>
  </si>
  <si>
    <t xml:space="preserve">• El modelo está en la tarjeta y lo revisó Jorel antes de escribir la migración.</t>
  </si>
  <si>
    <t xml:space="preserve">bd</t>
  </si>
  <si>
    <t xml:space="preserve">Escribir la migración V1 (rol, usuario, competencia)</t>
  </si>
  <si>
    <t xml:space="preserve">db/migration/V&lt;yyyyMMddHHmm&gt;__esquema_inicial.sql con CREATE TABLE, PK, FK usuario.rol_id → rol.id, UNIQUE en correo y códigos, CHECK en estado, índice en usuario.correo.</t>
  </si>
  <si>
    <t xml:space="preserve">• La migración corre en una base vacía sin errores.
• Insertar dos usuarios con el mismo correo falla.</t>
  </si>
  <si>
    <t xml:space="preserve">Entidades JPA y repositorios de rol, usuario y competencia</t>
  </si>
  <si>
    <t xml:space="preserve">Rol, Usuario (@ManyToOne a Rol), Competencia en sus módulos; RolRepository, UsuarioRepository (findByCorreo, existsByCorreo), CompetenciaRepository (findByCodigo). Enum EstadoUsuario.</t>
  </si>
  <si>
    <t xml:space="preserve">• La app arranca con ddl-auto: validate (el mapeo coincide con la migración).</t>
  </si>
  <si>
    <t xml:space="preserve">Datos semilla: roles, competencias y usuarios de prueba</t>
  </si>
  <si>
    <t xml:space="preserve">Migración de datos con los 3 roles y 3 competencias (se requieren en todos los entornos). Usuarios de prueba (estudiante, docente, admin) con contraseña en BCrypt en una ubicación solo para dev/staging (ej. db/dev-data, agregada a spring.flyway.locations en application-dev.yml). Completar la tabla de usuarios de prueba del README.</t>
  </si>
  <si>
    <t xml:space="preserve">• Con perfil dev se puede iniciar sesión con los 3 usuarios de prueba.
• Con perfil test/producción no existen usuarios de prueba.</t>
  </si>
  <si>
    <t xml:space="preserve">Prueba de integración del esquema</t>
  </si>
  <si>
    <t xml:space="preserve">Prueba con Testcontainers que arranca PostgreSQL, aplica las migraciones y verifica guardar/leer un usuario con su rol.</t>
  </si>
  <si>
    <t xml:space="preserve">• ./mvnw test pasa localmente y en CI.</t>
  </si>
  <si>
    <t xml:space="preserve">backend qa</t>
  </si>
  <si>
    <t xml:space="preserve">Historia</t>
  </si>
  <si>
    <t xml:space="preserve">Implementar registro e inicio de sesión de usuarios</t>
  </si>
  <si>
    <t xml:space="preserve">Como usuario quiero iniciar sesión con mi correo y contraseña para acceder a las funciones de mi rol. Autenticación stateless con JWT firmado (HS256) emitido por el backend con Spring Security + OAuth2 Resource Server (Nimbus). Registro público solo para estudiantes; docentes y administradores los crea el administrador (confirmar con el equipo).</t>
  </si>
  <si>
    <t xml:space="preserve">• POST /api/auth/login con credenciales válidas devuelve 200 con token, expiración y datos del usuario (id, nombre, rol).
• Credenciales inválidas o usuario INACTIVO devuelven 401 con mensaje genérico (no revela si el correo existe).
• Las contraseñas se guardan con BCrypt; nunca viajan de vuelta en ninguna respuesta.
• Desde el frontend, el login redirige al inicio del rol correspondiente.</t>
  </si>
  <si>
    <t xml:space="preserve">RF-01</t>
  </si>
  <si>
    <t xml:space="preserve">backend frontend seguridad</t>
  </si>
  <si>
    <t xml:space="preserve">Publicar el contrato de /api/auth en la tarjeta</t>
  </si>
  <si>
    <t xml:space="preserve">Primera cosa del día para desbloquear a Fernando. POST /api/auth/login  body {"correo","password"} → 200 {"token","tipo":"Bearer","expiraEn","usuario":{"id","nombres","rol"}}; 401 {formato estándar}. POST /api/auth/registro (estudiante) → 201. GET /api/auth/me (token) → 200 usuario. Claims del token: sub (id), correo, rol, iat, exp.</t>
  </si>
  <si>
    <t xml:space="preserve">• Fernando confirma que puede simular las respuestas con ese contrato.</t>
  </si>
  <si>
    <t xml:space="preserve">PasswordEncoder y UserDetailsService por correo</t>
  </si>
  <si>
    <t xml:space="preserve">Bean BCryptPasswordEncoder; UserDetailsService que busca por correo y rechaza usuarios INACTIVOS; AuthenticationManager (DaoAuthenticationProvider).</t>
  </si>
  <si>
    <t xml:space="preserve">• Una contraseña correcta autentica y una incorrecta lanza BadCredentials.</t>
  </si>
  <si>
    <t xml:space="preserve">backend seguridad</t>
  </si>
  <si>
    <t xml:space="preserve">Servicio JWT: emisión y validación del token</t>
  </si>
  <si>
    <t xml:space="preserve">JwtEncoder/JwtDecoder de Nimbus con clave simétrica desde app.jwt.secret (mínimo 32 caracteres), expiración desde app.jwt.expiration-minutes, claims sub, correo, rol. Configurar oauth2ResourceServer().jwt() en SecurityConfig.</t>
  </si>
  <si>
    <t xml:space="preserve">• Un token emitido es aceptado; uno alterado o vencido responde 401.</t>
  </si>
  <si>
    <t xml:space="preserve">Endpoints /api/auth/login, /registro y /me</t>
  </si>
  <si>
    <t xml:space="preserve">AuthController + AuthService con DTO validados (LoginRequest, RegistroRequest, AuthResponse, UsuarioResponse). Registro asigna rol ESTUDIANTE y valida correo único (409 si existe).</t>
  </si>
  <si>
    <t xml:space="preserve">• Los tres endpoints cumplen el contrato publicado y aparecen en Swagger.</t>
  </si>
  <si>
    <t xml:space="preserve">Pruebas del login</t>
  </si>
  <si>
    <t xml:space="preserve">Pruebas de servicio y de controlador (MockMvc): login correcto, contraseña errada, usuario inactivo, registro con correo repetido, /me sin token.</t>
  </si>
  <si>
    <t xml:space="preserve">• Las 5 pruebas pasan en CI.</t>
  </si>
  <si>
    <t xml:space="preserve">Cliente authApi con datos simulados</t>
  </si>
  <si>
    <t xml:space="preserve">api/authApi.js con login(), registro() y me(). Mientras el endpoint no esté en develop, responde con datos simulados (usuarios de prueba por rol y un token falso con la misma forma del contrato) activados con VITE_USE_MOCKS=true.</t>
  </si>
  <si>
    <t xml:space="preserve">• Cambiar VITE_USE_MOCKS a false usa el backend real sin tocar componentes.</t>
  </si>
  <si>
    <t xml:space="preserve">Pantalla de inicio de sesión</t>
  </si>
  <si>
    <t xml:space="preserve">features/auth/LoginPage.jsx según el prototipo: correo y contraseña con react-hook-form + zod (correo válido, contraseña requerida), botón con estado de carga, mensaje de error del servidor, mostrar/ocultar contraseña. Accesible: labels visibles, errores asociados con aria-describedby, foco al primer error, envío con Enter. Al iniciar sesión redirige a /estudiante, /docente o /admin según el rol.</t>
  </si>
  <si>
    <t xml:space="preserve">• Con credenciales de prueba entra al inicio del rol correcto.
• Con credenciales inválidas muestra el error sin recargar la página.
• Se puede completar solo con teclado.
• Se ve bien en 375 px de ancho.</t>
  </si>
  <si>
    <t xml:space="preserve">Implementar control de acceso por rol</t>
  </si>
  <si>
    <t xml:space="preserve">Como plataforma debo restringir endpoints (backend) y vistas (frontend) según el rol ESTUDIANTE, DOCENTE o ADMIN. El backend es la barrera real; el frontend solo evita navegar a lo que no corresponde.</t>
  </si>
  <si>
    <t xml:space="preserve">• Un token de ESTUDIANTE que llama un endpoint de DOCENTE recibe 403 con el formato estándar.
• Una petición sin token recibe 401.
• En el frontend, cada rol solo puede navegar a sus rutas y al vencer el token vuelve al login.</t>
  </si>
  <si>
    <t xml:space="preserve">Autorización por rol en el backend</t>
  </si>
  <si>
    <t xml:space="preserve">JwtAuthenticationConverter que convierte el claim "rol" en ROLE_&lt;rol&gt;; @EnableMethodSecurity y @PreAuthorize en controladores; AuthenticationEntryPoint (401) y AccessDeniedHandler (403) que responden con el formato estándar.</t>
  </si>
  <si>
    <t xml:space="preserve">• Endpoint de prueba /api/ping/{rol} responde 200 al rol correcto y 403 a los demás.</t>
  </si>
  <si>
    <t xml:space="preserve">AuthContext: sesión, rol y cierre de sesión</t>
  </si>
  <si>
    <t xml:space="preserve">context/AuthContext.jsx con user, rol, login(), logout(), isAuthenticated. Lee el token con jwt-decode al cargar la app, descarta tokens vencidos y lo guarda en localStorage.</t>
  </si>
  <si>
    <t xml:space="preserve">• Al recargar la página la sesión se mantiene si el token sigue vigente.
• logout limpia el token y lleva a /login.</t>
  </si>
  <si>
    <t xml:space="preserve">ProtectedRoute e interceptor de 401</t>
  </si>
  <si>
    <t xml:space="preserve">Conectar ProtectedRoute con AuthContext (sin sesión → /login guardando la ruta de origen; rol distinto → /no-autorizado). Interceptor de respuesta en api/client.js: ante 401 hace logout y redirige al login.</t>
  </si>
  <si>
    <t xml:space="preserve">• Tras iniciar sesión, vuelve a la ruta que el usuario intentaba abrir.
• Un 401 del backend cierra la sesión automáticamente.</t>
  </si>
  <si>
    <t xml:space="preserve">Pruebas de acceso por rol</t>
  </si>
  <si>
    <t xml:space="preserve">Pruebas MockMvc de 401 y 403 sobre endpoints de cada rol, reutilizables en la tarea de hardening del Sprint 4.</t>
  </si>
  <si>
    <t xml:space="preserve">• Pasan en CI.</t>
  </si>
  <si>
    <t xml:space="preserve">Configurar entorno de despliegue de prueba (staging)</t>
  </si>
  <si>
    <t xml:space="preserve">Backend, base de datos y frontend publicados en una URL accesible para el equipo y los usuarios piloto, con variables de entorno separadas y despliegue desde develop.</t>
  </si>
  <si>
    <t xml:space="preserve">• El equipo abre la URL de staging e inicia sesión con un usuario de prueba.
• Un merge a develop se refleja en staging (automático o con un paso documentado).
• Ningún secreto está en el repositorio.</t>
  </si>
  <si>
    <t xml:space="preserve">Elegir la plataforma de hosting</t>
  </si>
  <si>
    <t xml:space="preserve">Comparar 2 o 3 opciones gratuitas o con crédito estudiantil para Spring Boot + PostgreSQL y para un sitio estático (límites, suspensión por inactividad, región). Registrar la decisión en la tarjeta.</t>
  </si>
  <si>
    <t xml:space="preserve">• Decisión escrita con el motivo.</t>
  </si>
  <si>
    <t xml:space="preserve">Desplegar backend y PostgreSQL</t>
  </si>
  <si>
    <t xml:space="preserve">Servicio del backend (Dockerfile o build nativo de la plataforma), base PostgreSQL gestionada, variables SPRING_PROFILES_ACTIVE, SPRING_DATASOURCE_*, JWT_SECRET, CORS_ORIGINS.</t>
  </si>
  <si>
    <t xml:space="preserve">• /actuator/health de staging responde UP.</t>
  </si>
  <si>
    <t xml:space="preserve">Desplegar frontend</t>
  </si>
  <si>
    <t xml:space="preserve">Build de Vite con VITE_API_URL de staging; regla de reescritura para que las rutas de React Router no den 404 al recargar.</t>
  </si>
  <si>
    <t xml:space="preserve">• Recargar /estudiante en staging no da 404.</t>
  </si>
  <si>
    <t xml:space="preserve">Documentar URLs y proceso de despliegue</t>
  </si>
  <si>
    <t xml:space="preserve">Sección "Despliegue" en ambos README: URLs, variables, cómo desplegar y quién tiene acceso a la plataforma.</t>
  </si>
  <si>
    <t xml:space="preserve">• Cualquier integrante puede redesplegar siguiendo el README.</t>
  </si>
  <si>
    <t xml:space="preserve">Configurar integración continua básica</t>
  </si>
  <si>
    <t xml:space="preserve">GitHub Actions que compila y prueba cada PR hacia develop y main en ambos repositorios, y que se exige como check obligatorio antes de fusionar.</t>
  </si>
  <si>
    <t xml:space="preserve">• Un PR con una prueba fallando no se puede fusionar.
• El pipeline tarda menos de 10 minutos.</t>
  </si>
  <si>
    <t xml:space="preserve">devops qa</t>
  </si>
  <si>
    <t xml:space="preserve">Workflow del backend</t>
  </si>
  <si>
    <t xml:space="preserve">.github/workflows/ci.yml: Temurin 21, caché de Maven, ./mvnw verify (Testcontainers funciona en los runners de GitHub).</t>
  </si>
  <si>
    <t xml:space="preserve">• Corre en cada PR y muestra el resultado en el PR.</t>
  </si>
  <si>
    <t xml:space="preserve">Workflow del frontend</t>
  </si>
  <si>
    <t xml:space="preserve">Node 24, npm ci, npm run lint y npm run build.</t>
  </si>
  <si>
    <t xml:space="preserve">• Corre en cada PR.</t>
  </si>
  <si>
    <t xml:space="preserve">Checks obligatorios en los rulesets</t>
  </si>
  <si>
    <t xml:space="preserve">Agregar "Require status checks to pass" con los jobs de CI en main y develop de ambos repos (requiere permisos de admin: coordinar con Jorel).</t>
  </si>
  <si>
    <t xml:space="preserve">• El botón de merge queda bloqueado si CI falla.</t>
  </si>
  <si>
    <t xml:space="preserve">Insignia de estado en los README</t>
  </si>
  <si>
    <t xml:space="preserve">Badge del workflow en ambos README.</t>
  </si>
  <si>
    <t xml:space="preserve">• El badge refleja el estado de develop.</t>
  </si>
  <si>
    <t xml:space="preserve">Modelar entidades del diagnóstico</t>
  </si>
  <si>
    <t xml:space="preserve">Tablas y entidades de la prueba diagnóstica, sus ítems y opciones, los intentos de cada estudiante, sus respuestas y el resultado por dimensión, consistentes con el modelo conceptual del capítulo 4.</t>
  </si>
  <si>
    <t xml:space="preserve">• La migración corre sin errores y la app arranca con ddl-auto: validate.
• Un estudiante no puede tener dos intentos EN_CURSO de la misma prueba (restricción en BD).
• No se puede registrar dos respuestas para el mismo ítem en el mismo intento.</t>
  </si>
  <si>
    <t xml:space="preserve">Migración de tablas del diagnóstico</t>
  </si>
  <si>
    <t xml:space="preserve">prueba_diagnostica(id, nombre, version, tiempo_limite_min, activa); item(id, prueba_id, numero, enunciado, competencia_id, activo); opcion(id, item_id, letra, texto, es_correcta); intento_diagnostico(id, usuario_id, prueba_id, estado EN_CURSO/FINALIZADO, iniciado_en, finalizado_en, puntaje_total, categoria); respuesta_diagnostico(id, intento_id, item_id, opcion_id, respondida_en, UNIQUE(intento_id, item_id)); resultado_dimension(id, intento_id, competencia_id, aciertos, total, porcentaje). Índice único parcial para un solo intento EN_CURSO por usuario y prueba.</t>
  </si>
  <si>
    <t xml:space="preserve">• Las restricciones del criterio de aceptación están en la migración.</t>
  </si>
  <si>
    <t xml:space="preserve">Entidades JPA y repositorios del diagnóstico</t>
  </si>
  <si>
    <t xml:space="preserve">Entidades y repositorios en diagnostico/entity y diagnostico/repository; enums EstadoIntento y CategoriaDesempeno.</t>
  </si>
  <si>
    <t xml:space="preserve">• La app arranca con validate y hay una prueba de repositorio básica.</t>
  </si>
  <si>
    <t xml:space="preserve">Revisión cruzada del modelo</t>
  </si>
  <si>
    <t xml:space="preserve">Jorel revisa el modelo antes de fusionar, porque el motor adaptativo y los indicadores dependen de él.</t>
  </si>
  <si>
    <t xml:space="preserve">• PR aprobado por Jorel.</t>
  </si>
  <si>
    <t xml:space="preserve">Migrar el banco de ítems de la prueba diagnóstica</t>
  </si>
  <si>
    <t xml:space="preserve">Cargar los 24 ítems de la Prueba Diagnóstica de Competencias Matemáticas (enunciado, opciones, clave y dimensión) a la base de datos desde un CSV revisado.</t>
  </si>
  <si>
    <t xml:space="preserve">• La base contiene exactamente 24 ítems activos, cada uno con una sola opción correcta y una dimensión.
• Las expresiones matemáticas se ven correctamente con KaTeX.
• Los ítems 8 y 17 tienen su clave revisada, y los ítems 1 y 15 una nota sobre su efecto techo (decisiones derivadas del cap. 3).</t>
  </si>
  <si>
    <t xml:space="preserve">bd contenido</t>
  </si>
  <si>
    <t xml:space="preserve">Transcribir los 24 ítems a CSV</t>
  </si>
  <si>
    <t xml:space="preserve">docs/datos/items_diagnostico.csv (UTF-8) con columnas: numero, dimension (ALGEBRAICA/LOGICA/FUNCIONAL), enunciado, opcion_a, opcion_b, opcion_c, opcion_d, respuesta_correcta (A-D), observaciones. Fórmulas en notación LaTeX entre $…$ (ej. $x^2-5x+6=0$). Tomar el texto exacto del formulario aplicado.</t>
  </si>
  <si>
    <t xml:space="preserve">• 24 filas, sin celdas vacías obligatorias, abre bien en Excel y en el editor.</t>
  </si>
  <si>
    <t xml:space="preserve">contenido</t>
  </si>
  <si>
    <t xml:space="preserve">Validar el CSV</t>
  </si>
  <si>
    <t xml:space="preserve">Revisión por un segundo integrante: ortografía, LaTeX que renderiza, una sola clave por ítem, dimensión asignada según el instrumento, claves de los ítems 8 y 17 revisadas contra la fuente.</t>
  </si>
  <si>
    <t xml:space="preserve">• Checklist de revisión marcado en la tarjeta.</t>
  </si>
  <si>
    <t xml:space="preserve">contenido qa</t>
  </si>
  <si>
    <t xml:space="preserve">Migración de datos de los ítems</t>
  </si>
  <si>
    <t xml:space="preserve">Convertir el CSV en una migración Flyway de datos (INSERT de prueba_diagnostica versión 1, item y opcion). Mantener el CSV como fuente en el repo.</t>
  </si>
  <si>
    <t xml:space="preserve">• En una base limpia quedan cargados los 24 ítems con sus 4 opciones.</t>
  </si>
  <si>
    <t xml:space="preserve">Desarrollar endpoint de aplicación de la prueba diagnóstica</t>
  </si>
  <si>
    <t xml:space="preserve">Como estudiante quiero presentar la prueba diagnóstica, con mis respuestas guardadas a medida que avanzo, y poder retomarla si se interrumpe mi sesión.</t>
  </si>
  <si>
    <t xml:space="preserve">• Un estudiante puede iniciar, responder, retomar y finalizar la prueba.
• La respuesta correcta nunca viaja al frontend antes de finalizar.
• Responder dos veces el mismo ítem actualiza la respuesta (no la duplica).
• Solo el rol ESTUDIANTE puede usar estos endpoints.</t>
  </si>
  <si>
    <t xml:space="preserve">RF-02</t>
  </si>
  <si>
    <t xml:space="preserve">09/10/2026</t>
  </si>
  <si>
    <t xml:space="preserve">20/10/2026</t>
  </si>
  <si>
    <t xml:space="preserve">Contrato de los endpoints del diagnóstico</t>
  </si>
  <si>
    <t xml:space="preserve">POST /api/diagnosticos/intentos (inicia o devuelve el EN_CURSO), GET /api/diagnosticos/intentos/{id} (ítems sin clave + respuestas ya dadas + tiempo restante), PUT /api/diagnosticos/intentos/{id}/respuestas/{itemId} {opcionId}, POST /api/diagnosticos/intentos/{id}/finalizar. Publicarlo en la tarjeta el primer día del sprint.</t>
  </si>
  <si>
    <t xml:space="preserve">• Nicolás confirma el contrato.</t>
  </si>
  <si>
    <t xml:space="preserve">Iniciar o retomar intento</t>
  </si>
  <si>
    <t xml:space="preserve">Servicio que crea el intento EN_CURSO o devuelve el existente; valida que el intento sea del usuario autenticado.</t>
  </si>
  <si>
    <t xml:space="preserve">• Un segundo POST no crea otro intento.</t>
  </si>
  <si>
    <t xml:space="preserve">Entregar ítems sin clave</t>
  </si>
  <si>
    <t xml:space="preserve">DTO ItemDiagnosticoResponse (numero, enunciado, opciones sin es_correcta, dimensión) en el orden definido.</t>
  </si>
  <si>
    <t xml:space="preserve">• Ninguna respuesta del endpoint contiene es_correcta.</t>
  </si>
  <si>
    <t xml:space="preserve">Registrar y actualizar respuestas</t>
  </si>
  <si>
    <t xml:space="preserve">Upsert por (intento, ítem) con marca de tiempo; rechaza intentos FINALIZADOS (409) o de otro usuario (403).</t>
  </si>
  <si>
    <t xml:space="preserve">• Pruebas de upsert, intento finalizado y usuario ajeno.</t>
  </si>
  <si>
    <t xml:space="preserve">Finalizar intento y control de tiempo</t>
  </si>
  <si>
    <t xml:space="preserve">Finaliza manualmente o al vencer tiempo_limite_min; al finalizar dispara el cálculo de puntaje.</t>
  </si>
  <si>
    <t xml:space="preserve">• Un intento vencido no acepta respuestas.</t>
  </si>
  <si>
    <t xml:space="preserve">Implementar cálculo automático del puntaje</t>
  </si>
  <si>
    <t xml:space="preserve">Al finalizar la prueba, calcular el puntaje total (0 a 24) y el puntaje por dimensión (algebraica, lógica, funcional) y guardarlos.</t>
  </si>
  <si>
    <t xml:space="preserve">• El puntaje total y por dimensión coincide con un cálculo manual en al menos 3 casos de prueba.
• Los ítems sin responder cuentan como incorrectos.
• El resultado queda guardado en intento_diagnostico y resultado_dimension.</t>
  </si>
  <si>
    <t xml:space="preserve">RF-03</t>
  </si>
  <si>
    <t xml:space="preserve">Servicio de calificación</t>
  </si>
  <si>
    <t xml:space="preserve">CalificacionService: compara cada respuesta con la opción correcta (1/0) y agrega por competencia.</t>
  </si>
  <si>
    <t xml:space="preserve">• Casos: todo correcto, todo incorrecto, parcial con ítems vacíos.</t>
  </si>
  <si>
    <t xml:space="preserve">Persistir resultados por dimensión</t>
  </si>
  <si>
    <t xml:space="preserve">Guardar puntaje_total y filas de resultado_dimension en la misma transacción que la finalización.</t>
  </si>
  <si>
    <t xml:space="preserve">• Si falla el cálculo no queda un intento FINALIZADO sin resultado.</t>
  </si>
  <si>
    <t xml:space="preserve">Pruebas del cálculo</t>
  </si>
  <si>
    <t xml:space="preserve">Pruebas unitarias con los casos del criterio.</t>
  </si>
  <si>
    <t xml:space="preserve">Implementar asignación de categoría de desempeño</t>
  </si>
  <si>
    <t xml:space="preserve">Clasificar al estudiante (bajo / medio / alto) en total y por dimensión según umbrales acordados, para orientar la práctica adaptativa.</t>
  </si>
  <si>
    <t xml:space="preserve">• La categoría se asigna automáticamente al finalizar.
• Los umbrales se cambian por configuración, sin tocar código.
• Los umbrales usados están documentados en el informe.</t>
  </si>
  <si>
    <t xml:space="preserve">RF-04</t>
  </si>
  <si>
    <t xml:space="preserve">Acordar los umbrales con el equipo</t>
  </si>
  <si>
    <t xml:space="preserve">Proponer cortes (ej. por porcentaje de aciertos) usando la distribución de los 185 resultados del diagnóstico aplicado; validar con la docente si es posible.</t>
  </si>
  <si>
    <t xml:space="preserve">• Umbrales escritos en la tarjeta con su justificación.</t>
  </si>
  <si>
    <t xml:space="preserve">Reglas configurables de categorización</t>
  </si>
  <si>
    <t xml:space="preserve">Umbrales en application.yml (app.diagnostico.umbrales) o en tabla; CategorizacionService puro y probado.</t>
  </si>
  <si>
    <t xml:space="preserve">• Cambiar un umbral cambia la categoría sin recompilar lógica.</t>
  </si>
  <si>
    <t xml:space="preserve">Exponer la categoría en el resultado</t>
  </si>
  <si>
    <t xml:space="preserve">Incluir categoría total y por dimensión en GET /api/diagnosticos/intentos/{id}/resultado.</t>
  </si>
  <si>
    <t xml:space="preserve">• El endpoint devuelve puntajes y categorías.</t>
  </si>
  <si>
    <t xml:space="preserve">Pruebas de categorización</t>
  </si>
  <si>
    <t xml:space="preserve">Casos en los bordes de cada umbral.</t>
  </si>
  <si>
    <t xml:space="preserve">Construir interfaz de aplicación de la prueba diagnóstica</t>
  </si>
  <si>
    <t xml:space="preserve">Como estudiante quiero responder la prueba ítem por ítem, ver mi avance y el tiempo restante, sin perder respuestas si se cae la conexión.</t>
  </si>
  <si>
    <t xml:space="preserve">• Se muestran los 24 ítems uno a uno con su notación matemática correcta.
• Cada respuesta se guarda al seleccionarla (indicador "guardado").
• Al recargar la página se retoma en el ítem donde iba.
• Se puede responder solo con teclado y funciona en móvil.</t>
  </si>
  <si>
    <t xml:space="preserve">Cliente diagnosticoApi</t>
  </si>
  <si>
    <t xml:space="preserve">api/diagnosticoApi.js con iniciar, obtener, responder, finalizar y resultado (con datos simulados mientras tanto).</t>
  </si>
  <si>
    <t xml:space="preserve">• Mismo contrato que el backend.</t>
  </si>
  <si>
    <t xml:space="preserve">Pantalla de instrucciones e inicio</t>
  </si>
  <si>
    <t xml:space="preserve">Explica número de ítems, tiempo y dimensiones; botón Iniciar o Continuar según el estado.</t>
  </si>
  <si>
    <t xml:space="preserve">• Si hay un intento EN_CURSO muestra "Continuar".</t>
  </si>
  <si>
    <t xml:space="preserve">Componente de ítem con opciones accesibles</t>
  </si>
  <si>
    <t xml:space="preserve">Enunciado con MathText, opciones como RadioGroup de MUI (labels asociados, navegación con flechas), estado guardando/guardado/error.</t>
  </si>
  <si>
    <t xml:space="preserve">• Lector de pantalla anuncia enunciado y opciones.</t>
  </si>
  <si>
    <t xml:space="preserve">Temporizador y barra de progreso</t>
  </si>
  <si>
    <t xml:space="preserve">Tiempo restante (sincronizado con el servidor al cargar), aviso a los 5 minutos, progreso x/24 con aria-valuenow.</t>
  </si>
  <si>
    <t xml:space="preserve">• Al llegar a 0 se finaliza la prueba.</t>
  </si>
  <si>
    <t xml:space="preserve">Navegación entre ítems y reanudación</t>
  </si>
  <si>
    <t xml:space="preserve">Anterior/Siguiente, mapa de ítems respondidos, reanudar en el primer ítem sin responder, reintento si falla el guardado.</t>
  </si>
  <si>
    <t xml:space="preserve">• Al recargar se conserva el avance.</t>
  </si>
  <si>
    <t xml:space="preserve">Confirmación de finalizar</t>
  </si>
  <si>
    <t xml:space="preserve">Diálogo que avisa cuántos ítems quedan sin responder antes de finalizar.</t>
  </si>
  <si>
    <t xml:space="preserve">• No se puede finalizar por error con un solo clic.</t>
  </si>
  <si>
    <t xml:space="preserve">Construir pantalla de resultado del diagnóstico</t>
  </si>
  <si>
    <t xml:space="preserve">Vista donde el estudiante consulta su puntaje total, su categoría y las dimensiones en las que necesita refuerzo, con acceso directo a la práctica.</t>
  </si>
  <si>
    <t xml:space="preserve">• Muestra puntaje total, categoría y porcentaje por dimensión.
• El gráfico tiene alternativa en texto o tabla para lectores de pantalla.
• El botón "Empezar a practicar" lleva a la práctica.</t>
  </si>
  <si>
    <t xml:space="preserve">RF-02, RF-04</t>
  </si>
  <si>
    <t xml:space="preserve">Resumen de puntaje y categoría</t>
  </si>
  <si>
    <t xml:space="preserve">Tarjetas con puntaje x/24 y categoría con color e icono (no solo color).</t>
  </si>
  <si>
    <t xml:space="preserve">• Legible en móvil.</t>
  </si>
  <si>
    <t xml:space="preserve">Gráfico por dimensión</t>
  </si>
  <si>
    <t xml:space="preserve">Barras con recharts por dimensión + tabla accesible equivalente.</t>
  </si>
  <si>
    <t xml:space="preserve">• Coincide con los datos del endpoint.</t>
  </si>
  <si>
    <t xml:space="preserve">Recomendaciones y llamado a practicar</t>
  </si>
  <si>
    <t xml:space="preserve">Texto según las dimensiones con categoría baja y botón a /estudiante/practica.</t>
  </si>
  <si>
    <t xml:space="preserve">• Aparecen las dimensiones a reforzar.</t>
  </si>
  <si>
    <t xml:space="preserve">Componente MathText para notación matemática</t>
  </si>
  <si>
    <t xml:space="preserve">Componente reutilizable (components/MathText.jsx) que renderiza texto mixto con expresiones LaTeX entre $…$ usando KaTeX, para ítems, ejercicios y retroalimentación.</t>
  </si>
  <si>
    <t xml:space="preserve">• Renderiza fracciones, potencias, raíces y funciones de los 24 ítems sin errores.
• Una expresión mal escrita muestra el texto original en lugar de romper la página.
• Genera salida accesible (MathML de KaTeX) para lectores de pantalla.</t>
  </si>
  <si>
    <t xml:space="preserve">RF-06, RNF-05</t>
  </si>
  <si>
    <t xml:space="preserve">Pruebas unitarias e integración del módulo de diagnóstico</t>
  </si>
  <si>
    <t xml:space="preserve">Pruebas automatizadas del flujo completo del diagnóstico y verificación manual de sus criterios de aceptación.</t>
  </si>
  <si>
    <t xml:space="preserve">• Cobertura de las clases de servicio del diagnóstico ≥ 70 %.
• CA-02, CA-03 y CA-04 verificados y marcados en la matriz.</t>
  </si>
  <si>
    <t xml:space="preserve">qa</t>
  </si>
  <si>
    <t xml:space="preserve">Prueba de integración del flujo completo</t>
  </si>
  <si>
    <t xml:space="preserve">Testcontainers + MockMvc: login estudiante → iniciar → responder 24 → finalizar → resultado.</t>
  </si>
  <si>
    <t xml:space="preserve">• Pasa en CI.</t>
  </si>
  <si>
    <t xml:space="preserve">qa backend</t>
  </si>
  <si>
    <t xml:space="preserve">Casos borde</t>
  </si>
  <si>
    <t xml:space="preserve">Intento vencido, intento ajeno, respuesta a ítem inexistente, finalizar dos veces.</t>
  </si>
  <si>
    <t xml:space="preserve">• Cada caso devuelve el código esperado.</t>
  </si>
  <si>
    <t xml:space="preserve">Verificación manual de CA-02 a CA-04</t>
  </si>
  <si>
    <t xml:space="preserve">Ejecutar en staging con el usuario de prueba y dejar evidencia (capturas).</t>
  </si>
  <si>
    <t xml:space="preserve">• Evidencia adjunta en la tarjeta.</t>
  </si>
  <si>
    <t xml:space="preserve">Diseñar el banco de ejercicios por competencia y nivel</t>
  </si>
  <si>
    <t xml:space="preserve">Catálogo de ejercicios de práctica por dimensión (algebraica, lógica, funcional) y nivel (1 básico, 2 intermedio, 3 avanzado), con su retroalimentación, listo para cargarse a la base.</t>
  </si>
  <si>
    <t xml:space="preserve">• Al menos 5 ejercicios por combinación dimensión × nivel (45 en total) para que el motor tenga variedad.
• Cada ejercicio tiene respuesta correcta, pista y explicación.
• Los criterios de nivel están documentados.</t>
  </si>
  <si>
    <t xml:space="preserve">RF-14</t>
  </si>
  <si>
    <t xml:space="preserve">Plantilla CSV de ejercicios</t>
  </si>
  <si>
    <t xml:space="preserve">Columnas: codigo, dimension, nivel, tipo (OPCION_MULTIPLE/NUMERICA), enunciado, opciones, respuesta, pista, explicacion, error_comun.</t>
  </si>
  <si>
    <t xml:space="preserve">• Plantilla revisada por Juan David (coincide con el modelo).</t>
  </si>
  <si>
    <t xml:space="preserve">Criterios de dificultad</t>
  </si>
  <si>
    <t xml:space="preserve">Definir qué hace a un ejercicio nivel 1, 2 o 3 (pasos, conceptos previos) con ejemplos.</t>
  </si>
  <si>
    <t xml:space="preserve">• Documento corto en docs/.</t>
  </si>
  <si>
    <t xml:space="preserve">Redactar y cargar los ejercicios</t>
  </si>
  <si>
    <t xml:space="preserve">Completar el CSV (se pueden adaptar de las guías de los docentes y del curso).</t>
  </si>
  <si>
    <t xml:space="preserve">• 45 ejercicios o más en el CSV.</t>
  </si>
  <si>
    <t xml:space="preserve">Revisión con un docente</t>
  </si>
  <si>
    <t xml:space="preserve">Enviar una muestra al docente para validar nivel y corrección.</t>
  </si>
  <si>
    <t xml:space="preserve">• Observaciones incorporadas.</t>
  </si>
  <si>
    <t xml:space="preserve">Modelar entidades de ejercicios, intentos y retroalimentación</t>
  </si>
  <si>
    <t xml:space="preserve">Tablas y entidades de contenido, ejercicio, opción, intento de práctica, retroalimentación y nivel actual del estudiante por competencia.</t>
  </si>
  <si>
    <t xml:space="preserve">• Migración aplicada y app arranca con validate.
• Cada intento queda ligado a estudiante, ejercicio, fecha, resultado y tiempo empleado.</t>
  </si>
  <si>
    <t xml:space="preserve">Migración de tablas de práctica</t>
  </si>
  <si>
    <t xml:space="preserve">contenido(id, competencia_id, titulo, descripcion, activo, creado_por); ejercicio(id, contenido_id, competencia_id, nivel 1-3, tipo, enunciado, respuesta_numerica NULL, pista, explicacion, activo); opcion_ejercicio; intento_practica(id, usuario_id, ejercicio_id, respuesta, es_correcta, tiempo_seg, creado_en); nivel_estudiante(usuario_id, competencia_id, nivel, racha, actualizado_en, PK compuesta).</t>
  </si>
  <si>
    <t xml:space="preserve">• Restricciones y índices por usuario_id y creado_en.</t>
  </si>
  <si>
    <t xml:space="preserve">Entidades, repositorios y carga del CSV de ejercicios</t>
  </si>
  <si>
    <t xml:space="preserve">Entidades en practica/ y contenido/; migración de datos desde el CSV de Fernando.</t>
  </si>
  <si>
    <t xml:space="preserve">• Los ejercicios del CSV quedan cargados.</t>
  </si>
  <si>
    <t xml:space="preserve">Implementar el motor de selección adaptativa de ejercicios</t>
  </si>
  <si>
    <t xml:space="preserve">Algoritmo basado en reglas (sin IA, según el alcance) que elige el siguiente ejercicio según el resultado del diagnóstico y los aciertos/errores recientes, priorizando las competencias con más dificultad.</t>
  </si>
  <si>
    <t xml:space="preserve">• Un estudiante con categoría baja en una dimensión recibe mayoritariamente ejercicios de esa dimensión.
• No se repite un ejercicio ya acertado mientras haya otros disponibles.
• Las reglas están documentadas para el capítulo 6 del informe.</t>
  </si>
  <si>
    <t xml:space="preserve">RF-05</t>
  </si>
  <si>
    <t xml:space="preserve">Documentar las reglas del motor</t>
  </si>
  <si>
    <t xml:space="preserve">Pesos por dimensión según categoría, ventana de últimos N intentos, criterios de repetición y desempate.</t>
  </si>
  <si>
    <t xml:space="preserve">• Documento revisado por el equipo.</t>
  </si>
  <si>
    <t xml:space="preserve">backend docs</t>
  </si>
  <si>
    <t xml:space="preserve">Implementar SeleccionEjercicioService</t>
  </si>
  <si>
    <t xml:space="preserve">Servicio puro y probado que recibe estado del estudiante y devuelve el siguiente ejercicio.</t>
  </si>
  <si>
    <t xml:space="preserve">• Determinista con una semilla para pruebas.</t>
  </si>
  <si>
    <t xml:space="preserve">Endpoint GET /api/practica/siguiente</t>
  </si>
  <si>
    <t xml:space="preserve">Devuelve el ejercicio sin la respuesta, con su dimensión y nivel.</t>
  </si>
  <si>
    <t xml:space="preserve">• Solo ESTUDIANTE; no expone la respuesta.</t>
  </si>
  <si>
    <t xml:space="preserve">Pruebas del motor</t>
  </si>
  <si>
    <t xml:space="preserve">Escenarios: estudiante nuevo, débil en una dimensión, que domina todo, sin ejercicios disponibles.</t>
  </si>
  <si>
    <t xml:space="preserve">Implementar la lógica de niveles de dificultad</t>
  </si>
  <si>
    <t xml:space="preserve">Reglas que suben o bajan el nivel del estudiante en cada competencia según su desempeño reciente, y que el motor usa para elegir ejercicios.</t>
  </si>
  <si>
    <t xml:space="preserve">• Tras N aciertos seguidos sube de nivel y tras M errores baja (N y M configurables).
• El nivel nunca sale del rango 1–3.
• El nivel inicial se deriva de la categoría del diagnóstico.</t>
  </si>
  <si>
    <t xml:space="preserve">RF-16</t>
  </si>
  <si>
    <t xml:space="preserve">Nivel inicial desde el diagnóstico</t>
  </si>
  <si>
    <t xml:space="preserve">Al finalizar el diagnóstico, inicializar nivel_estudiante por competencia.</t>
  </si>
  <si>
    <t xml:space="preserve">• Bajo → 1, medio → 2, alto → 3 (o lo que se acuerde).</t>
  </si>
  <si>
    <t xml:space="preserve">Reglas de subida y bajada</t>
  </si>
  <si>
    <t xml:space="preserve">Actualizar nivel y racha tras cada intento de práctica.</t>
  </si>
  <si>
    <t xml:space="preserve">• Configurable en application.yml.</t>
  </si>
  <si>
    <t xml:space="preserve">Pruebas de niveles</t>
  </si>
  <si>
    <t xml:space="preserve">Casos de límite 1 y 3 y rachas.</t>
  </si>
  <si>
    <t xml:space="preserve">Modelar grupos y asociación docente–estudiante</t>
  </si>
  <si>
    <t xml:space="preserve">RF-10 exige que el docente vea "sus estudiantes asociados", pero el modelo conceptual no tiene esa relación. Se agrega grupo (curso de Cálculo Diferencial en un periodo) con su docente y sus estudiantes.</t>
  </si>
  <si>
    <t xml:space="preserve">• Un docente solo puede consultar datos de estudiantes de sus grupos (probado con un docente ajeno → 403).
• El administrador o el docente puede inscribir estudiantes a un grupo (por correo o código de grupo).</t>
  </si>
  <si>
    <t xml:space="preserve">RF-10, RNF-04</t>
  </si>
  <si>
    <t xml:space="preserve">Nueva en v3. Faltaba en el backlog y en el modelo del cap. 4; actualizar la Figura 6 del informe.</t>
  </si>
  <si>
    <t xml:space="preserve">Migración grupo y grupo_estudiante</t>
  </si>
  <si>
    <t xml:space="preserve">grupo(id, nombre, periodo, docente_id FK usuario, codigo_inscripcion UNIQUE, activo); grupo_estudiante(grupo_id, estudiante_id, PK compuesta).</t>
  </si>
  <si>
    <t xml:space="preserve">• Migración aplicada.</t>
  </si>
  <si>
    <t xml:space="preserve">Endpoints de grupos</t>
  </si>
  <si>
    <t xml:space="preserve">CRUD de grupo (docente/admin) e inscripción de estudiante por código.</t>
  </si>
  <si>
    <t xml:space="preserve">• Documentados en Swagger.</t>
  </si>
  <si>
    <t xml:space="preserve">Regla de acceso por grupo</t>
  </si>
  <si>
    <t xml:space="preserve">Método reutilizable esDocenteDe(estudianteId) que usarán los servicios de indicadores y el historial.</t>
  </si>
  <si>
    <t xml:space="preserve">• Prueba con docente ajeno → 403.</t>
  </si>
  <si>
    <t xml:space="preserve">Definir el protocolo y umbral de usabilidad</t>
  </si>
  <si>
    <t xml:space="preserve">Procedimiento de medición de usabilidad para la validación piloto: tareas, participantes, momento de aplicación, instrumento SUS y umbral de aceptación de RNF-01.</t>
  </si>
  <si>
    <t xml:space="preserve">• Protocolo escrito con 4–6 tareas (ej. iniciar sesión, presentar diagnóstico, resolver 3 ejercicios, consultar progreso; docente: consultar grupo).
• Umbral definido (ej. ≥ 80 % de tareas completadas sin ayuda y SUS ≥ 68).
• Se reutiliza en el capítulo 5 del informe.</t>
  </si>
  <si>
    <t xml:space="preserve">RNF-01</t>
  </si>
  <si>
    <t xml:space="preserve">qa docs</t>
  </si>
  <si>
    <t xml:space="preserve">Construir interfaz de ejercicios interactivos</t>
  </si>
  <si>
    <t xml:space="preserve">Como estudiante quiero resolver ejercicios uno tras otro, enviar mi respuesta y saber de inmediato si acerté.</t>
  </si>
  <si>
    <t xml:space="preserve">• Muestra el ejercicio asignado por el motor con su dimensión y nivel.
• Soporta opción múltiple y respuesta numérica.
• Tras enviar muestra correcto/incorrecto y permite pasar al siguiente.
• Accesible por teclado y usable en móvil.</t>
  </si>
  <si>
    <t xml:space="preserve">RF-06</t>
  </si>
  <si>
    <t xml:space="preserve">21/10/2026</t>
  </si>
  <si>
    <t xml:space="preserve">01/11/2026</t>
  </si>
  <si>
    <t xml:space="preserve">Cliente practicaApi</t>
  </si>
  <si>
    <t xml:space="preserve">siguiente(), responder(), historial().</t>
  </si>
  <si>
    <t xml:space="preserve">• Coincide con el contrato.</t>
  </si>
  <si>
    <t xml:space="preserve">Pantalla de ejercicio</t>
  </si>
  <si>
    <t xml:space="preserve">MathText, opción múltiple o campo numérico validado, botón Enviar con estado de carga.</t>
  </si>
  <si>
    <t xml:space="preserve">• Ambos tipos funcionan.</t>
  </si>
  <si>
    <t xml:space="preserve">Resultado del intento y siguiente ejercicio</t>
  </si>
  <si>
    <t xml:space="preserve">Estado correcto/incorrecto (icono + texto, no solo color) y botón Siguiente.</t>
  </si>
  <si>
    <t xml:space="preserve">• El flujo no requiere recargar.</t>
  </si>
  <si>
    <t xml:space="preserve">Indicadores de sesión de práctica</t>
  </si>
  <si>
    <t xml:space="preserve">Racha, nivel actual por dimensión y ejercicios resueltos en la sesión.</t>
  </si>
  <si>
    <t xml:space="preserve">• Se actualiza tras cada intento.</t>
  </si>
  <si>
    <t xml:space="preserve">Revisión de accesibilidad de la práctica</t>
  </si>
  <si>
    <t xml:space="preserve">Foco tras enviar, anuncios aria-live del resultado, contraste.</t>
  </si>
  <si>
    <t xml:space="preserve">• Sin errores críticos en Lighthouse Accessibility.</t>
  </si>
  <si>
    <t xml:space="preserve">frontend qa</t>
  </si>
  <si>
    <t xml:space="preserve">Implementar retroalimentación inmediata</t>
  </si>
  <si>
    <t xml:space="preserve">Después de cada respuesta, mostrar una explicación, pista o error común que ayude a entender el procedimiento, no solo si acertó.</t>
  </si>
  <si>
    <t xml:space="preserve">• Respuesta incorrecta: se muestra pista y, al segundo intento fallido, la explicación completa.
• Respuesta correcta: se muestra la explicación breve.
• La retroalimentación llega en la misma respuesta del endpoint de intento.</t>
  </si>
  <si>
    <t xml:space="preserve">RF-07</t>
  </si>
  <si>
    <t xml:space="preserve">frontend backend</t>
  </si>
  <si>
    <t xml:space="preserve">Juan David apoya la parte de backend.</t>
  </si>
  <si>
    <t xml:space="preserve">Incluir la retroalimentación en la respuesta del intento</t>
  </si>
  <si>
    <t xml:space="preserve">POST /api/practica/intentos devuelve es_correcta, pista o explicación según el número de intento.</t>
  </si>
  <si>
    <t xml:space="preserve">• Prueba de las dos ramas.</t>
  </si>
  <si>
    <t xml:space="preserve">Panel de retroalimentación</t>
  </si>
  <si>
    <t xml:space="preserve">Componente con pista, explicación (MathText) y error común, anunciado con aria-live.</t>
  </si>
  <si>
    <t xml:space="preserve">• Se ve bajo el ejercicio sin tapar el enunciado.</t>
  </si>
  <si>
    <t xml:space="preserve">Pistas progresivas</t>
  </si>
  <si>
    <t xml:space="preserve">Botón "Ver pista" antes de responder y flujo de segundo intento.</t>
  </si>
  <si>
    <t xml:space="preserve">• El segundo intento queda registrado.</t>
  </si>
  <si>
    <t xml:space="preserve">Registrar intentos con trazabilidad completa</t>
  </si>
  <si>
    <t xml:space="preserve">Persistir cada intento con estudiante, ejercicio, resultado, fecha y tiempo empleado, evitando duplicados por doble clic o reintentos de red.</t>
  </si>
  <si>
    <t xml:space="preserve">• Cada intento queda consultable con los 5 datos (CA-08).
• Un doble envío idéntico en menos de 2 s no crea dos registros.</t>
  </si>
  <si>
    <t xml:space="preserve">RF-08, RNF-10</t>
  </si>
  <si>
    <t xml:space="preserve">Servicio de registro de intentos</t>
  </si>
  <si>
    <t xml:space="preserve">Guardar intento, actualizar nivel_estudiante en la misma transacción.</t>
  </si>
  <si>
    <t xml:space="preserve">• Transaccional.</t>
  </si>
  <si>
    <t xml:space="preserve">Protección contra envíos duplicados</t>
  </si>
  <si>
    <t xml:space="preserve">Clave de idempotencia enviada por el frontend (UUID por intento) con restricción única.</t>
  </si>
  <si>
    <t xml:space="preserve">• Prueba de doble envío.</t>
  </si>
  <si>
    <t xml:space="preserve">Diseñar los indicadores de progreso del estudiante</t>
  </si>
  <si>
    <t xml:space="preserve">Definir las métricas de progreso: porcentaje de aciertos por dimensión, intentos, ejercicios completados, nivel actual, variación frente al diagnóstico y tendencia semanal.</t>
  </si>
  <si>
    <t xml:space="preserve">• Cada indicador tiene fórmula, fuente de datos y visualización propuesta en la tarjeta.
• Juan David confirma que se pueden calcular con el modelo.</t>
  </si>
  <si>
    <t xml:space="preserve">RF-09</t>
  </si>
  <si>
    <t xml:space="preserve">contenido docs</t>
  </si>
  <si>
    <t xml:space="preserve">Implementar el servicio de cálculo de indicadores del estudiante</t>
  </si>
  <si>
    <t xml:space="preserve">Consultas y agregaciones sobre los intentos que alimentan el dashboard del estudiante.</t>
  </si>
  <si>
    <t xml:space="preserve">• GET /api/progreso/me devuelve todos los indicadores definidos en &lt; 1 s con 1.000 intentos.
• Resultados verificados contra un cálculo manual.</t>
  </si>
  <si>
    <t xml:space="preserve">Construir dashboard de progreso del estudiante</t>
  </si>
  <si>
    <t xml:space="preserve">Inicio del estudiante: resumen del diagnóstico, nivel y aciertos por dimensión, actividades completadas y tendencia, con accesos a diagnóstico y práctica.</t>
  </si>
  <si>
    <t xml:space="preserve">• Muestra los indicadores definidos con datos reales.
• Estado vacío claro si aún no presentó el diagnóstico.
• Cada gráfico tiene alternativa textual.</t>
  </si>
  <si>
    <t xml:space="preserve">Tarjetas de resumen y estados vacíos</t>
  </si>
  <si>
    <t xml:space="preserve">Diagnóstico, nivel por dimensión, ejercicios completados.</t>
  </si>
  <si>
    <t xml:space="preserve">• Sin diagnóstico → invita a presentarlo.</t>
  </si>
  <si>
    <t xml:space="preserve">Gráficos de aciertos y tendencia</t>
  </si>
  <si>
    <t xml:space="preserve">recharts: barras por dimensión y línea semanal.</t>
  </si>
  <si>
    <t xml:space="preserve">• Tooltips y tabla accesible.</t>
  </si>
  <si>
    <t xml:space="preserve">Diseño responsive</t>
  </si>
  <si>
    <t xml:space="preserve">Grid de MUI de 1 a 3 columnas.</t>
  </si>
  <si>
    <t xml:space="preserve">• Correcto en 375 px y 1440 px.</t>
  </si>
  <si>
    <t xml:space="preserve">Implementar el servicio de indicadores de grupo para el docente</t>
  </si>
  <si>
    <t xml:space="preserve">Agregaciones por grupo: promedio por dimensión, distribución de categorías, estudiantes en riesgo y detalle por estudiante, solo para los grupos del docente.</t>
  </si>
  <si>
    <t xml:space="preserve">• Un docente solo ve sus grupos (403 en otros).
• Filtros por competencia y periodo funcionan.</t>
  </si>
  <si>
    <t xml:space="preserve">RF-10</t>
  </si>
  <si>
    <t xml:space="preserve">Construir dashboard de desempeño para el docente</t>
  </si>
  <si>
    <t xml:space="preserve">Panel donde el docente consulta el desempeño de sus grupos y de cada estudiante, con filtros por competencia y periodo.</t>
  </si>
  <si>
    <t xml:space="preserve">• Selector de grupo, resumen por dimensión, tabla de estudiantes ordenable y detalle por estudiante.
• Filtros por competencia y periodo.</t>
  </si>
  <si>
    <t xml:space="preserve">Resumen del grupo</t>
  </si>
  <si>
    <t xml:space="preserve">Tarjetas y gráfico por dimensión; distribución de categorías.</t>
  </si>
  <si>
    <t xml:space="preserve">• Coincide con el endpoint.</t>
  </si>
  <si>
    <t xml:space="preserve">Tabla de estudiantes y detalle</t>
  </si>
  <si>
    <t xml:space="preserve">DataGrid/Table ordenable, búsqueda, enlace al detalle del estudiante.</t>
  </si>
  <si>
    <t xml:space="preserve">• Ordena por puntaje y categoría.</t>
  </si>
  <si>
    <t xml:space="preserve">Filtros por competencia y periodo</t>
  </si>
  <si>
    <t xml:space="preserve">Filtros sincronizados con la URL.</t>
  </si>
  <si>
    <t xml:space="preserve">• Al recargar se conservan.</t>
  </si>
  <si>
    <t xml:space="preserve">Implementar historial de resultados</t>
  </si>
  <si>
    <t xml:space="preserve">Endpoint y vista del historial de diagnósticos e intentos de práctica, con filtros por fecha, tipo de actividad y competencia; el docente lo ve para sus estudiantes.</t>
  </si>
  <si>
    <t xml:space="preserve">• Paginado (20 por página).
• Estudiante ve solo lo suyo; docente solo de sus grupos.</t>
  </si>
  <si>
    <t xml:space="preserve">RF-15</t>
  </si>
  <si>
    <t xml:space="preserve">backend frontend</t>
  </si>
  <si>
    <t xml:space="preserve">Endpoint de historial paginado</t>
  </si>
  <si>
    <t xml:space="preserve">GET /api/historial?tipo&amp;competencia&amp;desde&amp;hasta&amp;page.</t>
  </si>
  <si>
    <t xml:space="preserve">• Filtros y paginación probados.</t>
  </si>
  <si>
    <t xml:space="preserve">Vista de historial</t>
  </si>
  <si>
    <t xml:space="preserve">Tabla con filtros en /estudiante/progreso y en el detalle del estudiante del docente.</t>
  </si>
  <si>
    <t xml:space="preserve">• Reutiliza el mismo componente.</t>
  </si>
  <si>
    <t xml:space="preserve">Implementar indicadores derivados de analítica de aprendizaje</t>
  </si>
  <si>
    <t xml:space="preserve">Patrones agregados del grupo: dimensiones con mayor dificultad, ejercicios con más errores y evolución general del curso.</t>
  </si>
  <si>
    <t xml:space="preserve">• Top 5 de ejercicios con más errores y dimensión más débil por grupo.
• Visibles en el dashboard docente.</t>
  </si>
  <si>
    <t xml:space="preserve">RF-11</t>
  </si>
  <si>
    <t xml:space="preserve">Implementar gestión de actividades y contenidos por el docente</t>
  </si>
  <si>
    <t xml:space="preserve">Como docente quiero crear, editar, activar/desactivar y eliminar las actividades de práctica de mis estudiantes.</t>
  </si>
  <si>
    <t xml:space="preserve">• CRUD completo con validación y confirmación antes de eliminar.
• Un ejercicio con intentos no se borra: se desactiva.
• El motor solo usa ejercicios activos.</t>
  </si>
  <si>
    <t xml:space="preserve">RF-12, RF-14</t>
  </si>
  <si>
    <t xml:space="preserve">API CRUD de contenidos y ejercicios</t>
  </si>
  <si>
    <t xml:space="preserve">Endpoints /api/contenidos y /api/ejercicios para DOCENTE.</t>
  </si>
  <si>
    <t xml:space="preserve">• Validación y 403 para otros roles.</t>
  </si>
  <si>
    <t xml:space="preserve">Pantalla de gestión de actividades</t>
  </si>
  <si>
    <t xml:space="preserve">Lista con filtros, formulario (react-hook-form + zod, vista previa con MathText), activar/desactivar.</t>
  </si>
  <si>
    <t xml:space="preserve">• Crear un ejercicio y verlo en la práctica.</t>
  </si>
  <si>
    <t xml:space="preserve">Ejecutar pruebas de rendimiento de servicios críticos</t>
  </si>
  <si>
    <t xml:space="preserve">Medir el tiempo de respuesta de /api/practica/siguiente y de la finalización del diagnóstico bajo carga simulada y fijar el umbral de RNF-02.</t>
  </si>
  <si>
    <t xml:space="preserve">• Script de carga (k6 o JMeter) en el repo.
• p95 &lt; 1 s con 30 usuarios concurrentes (ajustar tras la primera medición) y resultado registrado para el cap. 7.</t>
  </si>
  <si>
    <t xml:space="preserve">RNF-02</t>
  </si>
  <si>
    <t xml:space="preserve">Implementar administración de usuarios y roles</t>
  </si>
  <si>
    <t xml:space="preserve">Como administrador quiero crear, editar, desactivar usuarios y cambiar su rol.</t>
  </si>
  <si>
    <t xml:space="preserve">• CRUD de usuarios con búsqueda y filtros por rol y estado.
• Un usuario desactivado no puede iniciar sesión.
• El administrador no puede desactivarse a sí mismo.</t>
  </si>
  <si>
    <t xml:space="preserve">RF-13</t>
  </si>
  <si>
    <t xml:space="preserve">02/11/2026</t>
  </si>
  <si>
    <t xml:space="preserve">12/11/2026</t>
  </si>
  <si>
    <t xml:space="preserve">API de administración de usuarios</t>
  </si>
  <si>
    <t xml:space="preserve">/api/admin/usuarios solo ADMIN, contraseña temporal al crear.</t>
  </si>
  <si>
    <t xml:space="preserve">• Pruebas de permisos.</t>
  </si>
  <si>
    <t xml:space="preserve">Pantalla de usuarios</t>
  </si>
  <si>
    <t xml:space="preserve">Tabla, formulario y diálogo de confirmación.</t>
  </si>
  <si>
    <t xml:space="preserve">• Flujo completo en staging.</t>
  </si>
  <si>
    <t xml:space="preserve">Construir panel de administración general</t>
  </si>
  <si>
    <t xml:space="preserve">Vista consolidada del administrador: totales de usuarios por rol, grupos activos y actividades activas, con accesos a cada gestión.</t>
  </si>
  <si>
    <t xml:space="preserve">• Muestra conteos reales y enlaces funcionales.</t>
  </si>
  <si>
    <t xml:space="preserve">Integración end-to-end de todos los módulos</t>
  </si>
  <si>
    <t xml:space="preserve">Ensamblar todos los módulos en develop y staging, verificando que compartan usuarios, roles y datos, y recorrer los flujos completos por rol.</t>
  </si>
  <si>
    <t xml:space="preserve">• Los 3 flujos completos (estudiante, docente, admin) funcionan en staging sin intervención manual en la BD.</t>
  </si>
  <si>
    <t xml:space="preserve">Ejecutar pruebas funcionales frente a los 16 criterios de aceptación</t>
  </si>
  <si>
    <t xml:space="preserve">Ejecutar y documentar CA-01 a CA-16 con evidencia, y actualizar la matriz de trazabilidad (CP-01 a CP-08).</t>
  </si>
  <si>
    <t xml:space="preserve">• Cada CA con resultado Cumple / No cumple y evidencia.
• Defectos registrados en Jira como Bug.</t>
  </si>
  <si>
    <t xml:space="preserve">Corregir incidencias detectadas</t>
  </si>
  <si>
    <t xml:space="preserve">Priorizar y corregir los defectos de integración y pruebas; cada uno lo corrige el responsable del módulo y se vuelve a verificar su CA.</t>
  </si>
  <si>
    <t xml:space="preserve">• Sin defectos de prioridad Alta abiertos al 11 nov.</t>
  </si>
  <si>
    <t xml:space="preserve">Preparar y ejecutar la validación con usuarios piloto</t>
  </si>
  <si>
    <t xml:space="preserve">Aplicar el protocolo de usabilidad con estudiantes y docentes piloto sobre staging.</t>
  </si>
  <si>
    <t xml:space="preserve">• Sesiones realizadas con los participantes definidos en el protocolo.
• Observaciones consolidadas en una tabla.
• Consentimiento informado y datos anonimizados (Ley 1581).</t>
  </si>
  <si>
    <t xml:space="preserve">Aplicar y tabular la encuesta de usabilidad (SUS)</t>
  </si>
  <si>
    <t xml:space="preserve">Aplicar SUS a los participantes y calcular el puntaje frente al umbral del protocolo.</t>
  </si>
  <si>
    <t xml:space="preserve">• Puntaje SUS calculado y comparado con el umbral de RNF-01.</t>
  </si>
  <si>
    <t xml:space="preserve">Aplicar ajustes finales de usabilidad y accesibilidad</t>
  </si>
  <si>
    <t xml:space="preserve">Corregir hallazgos del piloto y verificar WCAG 2.1 AA en las pantallas principales.</t>
  </si>
  <si>
    <t xml:space="preserve">• Lighthouse Accessibility ≥ 90 en login, diagnóstico, práctica y dashboards.
• Todas las pantallas principales operables por teclado.</t>
  </si>
  <si>
    <t xml:space="preserve">RNF-05</t>
  </si>
  <si>
    <t xml:space="preserve">Consolidar documentación técnica de la entrega</t>
  </si>
  <si>
    <t xml:space="preserve">Manual técnico, diagrama de despliegue y guía de instalación con la arquitectura realmente implementada (insumo del capítulo 6 del informe).</t>
  </si>
  <si>
    <t xml:space="preserve">• README actualizados, diagrama de despliegue as-built y modelo de datos final exportado.</t>
  </si>
  <si>
    <t xml:space="preserve">Empaquetar y entregar el MVP</t>
  </si>
  <si>
    <t xml:space="preserve">Checklist final, tag v1.0.0, datos y cuentas para la demostración de la sustentación.</t>
  </si>
  <si>
    <t xml:space="preserve">• Tag v1.0.0 en main de ambos repos.
• Staging con datos de demostración y guion de demo probado.</t>
  </si>
  <si>
    <t xml:space="preserve">Hardening de seguridad por rol</t>
  </si>
  <si>
    <t xml:space="preserve">Revisar todos los endpoints: autenticación, autorización por rol y por grupo, validación de entradas, exposición de datos sensibles y cabeceras de seguridad.</t>
  </si>
  <si>
    <t xml:space="preserve">• Matriz endpoint × rol probada automáticamente.
• Ninguna respuesta expone password_hash ni claves de respuesta.
• Secretos de staging rotados y fuera del repo.</t>
  </si>
  <si>
    <t xml:space="preserve">RNF-03</t>
  </si>
  <si>
    <t xml:space="preserve">seguridad backend</t>
  </si>
  <si>
    <t xml:space="preserve">Ejecutar prueba de concurrencia</t>
  </si>
  <si>
    <t xml:space="preserve">Verificar bajo envíos simultáneos que no se dupliquen intentos ni respuestas del diagnóstico.</t>
  </si>
  <si>
    <t xml:space="preserve">• 50 envíos simultáneos del mismo intento producen un solo registro.</t>
  </si>
  <si>
    <t xml:space="preserve">RNF-04, RNF-10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</si>
</sst>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General"/>
    <numFmt numFmtId="166" formatCode="0.0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3864"/>
      <name val="Arial"/>
      <family val="0"/>
      <charset val="1"/>
    </font>
    <font>
      <i val="true"/>
      <sz val="12"/>
      <color rgb="FF595959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2"/>
      <color rgb="FF1F3864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i val="true"/>
      <sz val="9"/>
      <color rgb="FF595959"/>
      <name val="Arial"/>
      <family val="0"/>
      <charset val="1"/>
    </font>
    <font>
      <sz val="10"/>
      <name val="Arial"/>
      <family val="2"/>
      <charset val="1"/>
    </font>
    <font>
      <sz val="9"/>
      <color rgb="FF595959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color rgb="FF2E75B6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9E2F3"/>
        <bgColor rgb="FFE2EFDA"/>
      </patternFill>
    </fill>
    <fill>
      <patternFill patternType="solid">
        <fgColor rgb="FFFFF6DA"/>
        <bgColor rgb="FFF5F7FB"/>
      </patternFill>
    </fill>
    <fill>
      <patternFill patternType="solid">
        <fgColor rgb="FFFCE4E4"/>
        <bgColor rgb="FFFFF6DA"/>
      </patternFill>
    </fill>
    <fill>
      <patternFill patternType="solid">
        <fgColor rgb="FFE2EFDA"/>
        <bgColor rgb="FFD9E2F3"/>
      </patternFill>
    </fill>
    <fill>
      <patternFill patternType="solid">
        <fgColor rgb="FFF5F7FB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5" fontId="7" fillId="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5" fontId="7" fillId="3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6" fontId="7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4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7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7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7" borderId="1" xfId="0" applyFont="true" applyBorder="true" applyAlignment="true" applyProtection="false">
      <alignment horizontal="general" vertical="top" textRotation="0" wrapText="true" indent="2" shrinkToFit="false"/>
      <protection locked="true" hidden="false"/>
    </xf>
    <xf numFmtId="164" fontId="7" fillId="7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4" fillId="7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8">
    <dxf>
      <fill>
        <patternFill patternType="solid">
          <fgColor rgb="FF1F3864"/>
          <bgColor rgb="FF000000"/>
        </patternFill>
      </fill>
    </dxf>
    <dxf>
      <fill>
        <patternFill patternType="solid">
          <fgColor rgb="FFF5F7FB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CE4E4"/>
          <bgColor rgb="FF000000"/>
        </patternFill>
      </fill>
    </dxf>
    <dxf>
      <fill>
        <patternFill patternType="solid">
          <fgColor rgb="FFFFF6DA"/>
          <bgColor rgb="FF000000"/>
        </patternFill>
      </fill>
    </dxf>
    <dxf>
      <fill>
        <patternFill patternType="solid">
          <fgColor rgb="FFE2EFDA"/>
          <bgColor rgb="FF000000"/>
        </patternFill>
      </fill>
    </dxf>
    <dxf>
      <fill>
        <patternFill patternType="solid">
          <fgColor rgb="FF2E75B6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6DA"/>
      <rgbColor rgb="FFF5F7FB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CE4E4"/>
      <rgbColor rgb="FF2E75B6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G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6796875" defaultRowHeight="14.2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4"/>
    <col collapsed="false" customWidth="true" hidden="false" outlineLevel="0" max="3" min="3" style="0" width="70"/>
    <col collapsed="false" customWidth="true" hidden="false" outlineLevel="0" max="7" min="4" style="0" width="10"/>
  </cols>
  <sheetData>
    <row r="2" customFormat="false" ht="21" hidden="false" customHeight="true" outlineLevel="0" collapsed="false">
      <c r="B2" s="1" t="s">
        <v>0</v>
      </c>
    </row>
    <row r="3" customFormat="false" ht="15" hidden="false" customHeight="true" outlineLevel="0" collapsed="false">
      <c r="B3" s="2" t="s">
        <v>1</v>
      </c>
    </row>
    <row r="5" customFormat="false" ht="26.25" hidden="false" customHeight="true" outlineLevel="0" collapsed="false">
      <c r="B5" s="3" t="s">
        <v>2</v>
      </c>
      <c r="C5" s="4" t="s">
        <v>3</v>
      </c>
    </row>
    <row r="6" customFormat="false" ht="14.25" hidden="false" customHeight="true" outlineLevel="0" collapsed="false">
      <c r="B6" s="3" t="s">
        <v>4</v>
      </c>
      <c r="C6" s="4" t="s">
        <v>5</v>
      </c>
    </row>
    <row r="7" customFormat="false" ht="30" hidden="false" customHeight="true" outlineLevel="0" collapsed="false">
      <c r="B7" s="3" t="s">
        <v>6</v>
      </c>
      <c r="C7" s="4" t="s">
        <v>7</v>
      </c>
    </row>
    <row r="8" customFormat="false" ht="14.25" hidden="false" customHeight="true" outlineLevel="0" collapsed="false">
      <c r="B8" s="3" t="s">
        <v>8</v>
      </c>
      <c r="C8" s="4" t="s">
        <v>9</v>
      </c>
    </row>
    <row r="10" customFormat="false" ht="15" hidden="false" customHeight="true" outlineLevel="0" collapsed="false">
      <c r="B10" s="5" t="s">
        <v>10</v>
      </c>
    </row>
    <row r="11" customFormat="false" ht="30" hidden="false" customHeight="true" outlineLevel="0" collapsed="false">
      <c r="B11" s="6" t="s">
        <v>11</v>
      </c>
      <c r="C11" s="6"/>
      <c r="D11" s="6"/>
      <c r="E11" s="6"/>
      <c r="F11" s="6"/>
      <c r="G11" s="6"/>
    </row>
    <row r="12" customFormat="false" ht="91.5" hidden="false" customHeight="true" outlineLevel="0" collapsed="false">
      <c r="B12" s="6" t="s">
        <v>12</v>
      </c>
      <c r="C12" s="6"/>
      <c r="D12" s="6"/>
      <c r="E12" s="6"/>
      <c r="F12" s="6"/>
      <c r="G12" s="6"/>
    </row>
    <row r="13" customFormat="false" ht="30" hidden="false" customHeight="true" outlineLevel="0" collapsed="false">
      <c r="B13" s="6" t="s">
        <v>13</v>
      </c>
      <c r="C13" s="6"/>
      <c r="D13" s="6"/>
      <c r="E13" s="6"/>
      <c r="F13" s="6"/>
      <c r="G13" s="6"/>
    </row>
    <row r="14" customFormat="false" ht="30" hidden="false" customHeight="true" outlineLevel="0" collapsed="false">
      <c r="B14" s="6" t="s">
        <v>14</v>
      </c>
      <c r="C14" s="6"/>
      <c r="D14" s="6"/>
      <c r="E14" s="6"/>
      <c r="F14" s="6"/>
      <c r="G14" s="6"/>
    </row>
    <row r="15" customFormat="false" ht="30" hidden="false" customHeight="true" outlineLevel="0" collapsed="false">
      <c r="B15" s="6" t="s">
        <v>15</v>
      </c>
      <c r="C15" s="6"/>
      <c r="D15" s="6"/>
      <c r="E15" s="6"/>
      <c r="F15" s="6"/>
      <c r="G15" s="6"/>
    </row>
    <row r="16" customFormat="false" ht="30" hidden="false" customHeight="true" outlineLevel="0" collapsed="false">
      <c r="B16" s="6" t="s">
        <v>16</v>
      </c>
      <c r="C16" s="6"/>
      <c r="D16" s="6"/>
      <c r="E16" s="6"/>
      <c r="F16" s="6"/>
      <c r="G16" s="6"/>
    </row>
    <row r="17" customFormat="false" ht="30" hidden="false" customHeight="true" outlineLevel="0" collapsed="false">
      <c r="B17" s="6" t="s">
        <v>17</v>
      </c>
      <c r="C17" s="6"/>
      <c r="D17" s="6"/>
      <c r="E17" s="6"/>
      <c r="F17" s="6"/>
      <c r="G17" s="6"/>
    </row>
  </sheetData>
  <mergeCells count="7">
    <mergeCell ref="B11:G11"/>
    <mergeCell ref="B12:G12"/>
    <mergeCell ref="B13:G13"/>
    <mergeCell ref="B14:G14"/>
    <mergeCell ref="B15:G15"/>
    <mergeCell ref="B16:G16"/>
    <mergeCell ref="B17:G1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8" activeCellId="0" sqref="C8"/>
    </sheetView>
  </sheetViews>
  <sheetFormatPr defaultColWidth="8.66796875" defaultRowHeight="14.2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0"/>
    <col collapsed="false" customWidth="true" hidden="false" outlineLevel="0" max="3" min="3" style="0" width="48"/>
    <col collapsed="false" customWidth="true" hidden="false" outlineLevel="0" max="4" min="4" style="0" width="26"/>
    <col collapsed="false" customWidth="true" hidden="false" outlineLevel="0" max="5" min="5" style="0" width="14"/>
    <col collapsed="false" customWidth="true" hidden="false" outlineLevel="0" max="6" min="6" style="0" width="45"/>
  </cols>
  <sheetData>
    <row r="1" customFormat="false" ht="30" hidden="false" customHeight="true" outlineLevel="0" collapsed="false">
      <c r="A1" s="7" t="s">
        <v>18</v>
      </c>
      <c r="B1" s="7" t="s">
        <v>19</v>
      </c>
      <c r="C1" s="7" t="s">
        <v>20</v>
      </c>
      <c r="D1" s="7" t="s">
        <v>21</v>
      </c>
      <c r="E1" s="7" t="s">
        <v>22</v>
      </c>
      <c r="F1" s="7" t="s">
        <v>23</v>
      </c>
    </row>
    <row r="2" customFormat="false" ht="64.5" hidden="false" customHeight="true" outlineLevel="0" collapsed="false">
      <c r="A2" s="8" t="s">
        <v>24</v>
      </c>
      <c r="B2" s="9" t="s">
        <v>25</v>
      </c>
      <c r="C2" s="9" t="s">
        <v>26</v>
      </c>
      <c r="D2" s="9" t="s">
        <v>27</v>
      </c>
      <c r="E2" s="9" t="n">
        <f aca="false">SUMIF(Backlog!$E:$E,A2,Backlog!$J:$J)</f>
        <v>85</v>
      </c>
      <c r="F2" s="9" t="s">
        <v>28</v>
      </c>
    </row>
    <row r="3" customFormat="false" ht="64.5" hidden="false" customHeight="true" outlineLevel="0" collapsed="false">
      <c r="A3" s="8" t="s">
        <v>29</v>
      </c>
      <c r="B3" s="9" t="s">
        <v>30</v>
      </c>
      <c r="C3" s="9" t="s">
        <v>31</v>
      </c>
      <c r="D3" s="9" t="s">
        <v>32</v>
      </c>
      <c r="E3" s="9" t="n">
        <f aca="false">SUMIF(Backlog!$E:$E,A3,Backlog!$J:$J)</f>
        <v>107</v>
      </c>
      <c r="F3" s="9" t="s">
        <v>33</v>
      </c>
    </row>
    <row r="4" customFormat="false" ht="64.5" hidden="false" customHeight="true" outlineLevel="0" collapsed="false">
      <c r="A4" s="8" t="s">
        <v>34</v>
      </c>
      <c r="B4" s="9" t="s">
        <v>35</v>
      </c>
      <c r="C4" s="9" t="s">
        <v>36</v>
      </c>
      <c r="D4" s="9" t="s">
        <v>37</v>
      </c>
      <c r="E4" s="9" t="n">
        <f aca="false">SUMIF(Backlog!$E:$E,A4,Backlog!$J:$J)</f>
        <v>108</v>
      </c>
      <c r="F4" s="9" t="s">
        <v>38</v>
      </c>
    </row>
    <row r="5" customFormat="false" ht="64.5" hidden="false" customHeight="true" outlineLevel="0" collapsed="false">
      <c r="A5" s="8" t="s">
        <v>39</v>
      </c>
      <c r="B5" s="9" t="s">
        <v>40</v>
      </c>
      <c r="C5" s="9" t="s">
        <v>41</v>
      </c>
      <c r="D5" s="9" t="s">
        <v>42</v>
      </c>
      <c r="E5" s="9" t="n">
        <f aca="false">SUMIF(Backlog!$E:$E,A5,Backlog!$J:$J)</f>
        <v>100</v>
      </c>
      <c r="F5" s="9" t="s">
        <v>43</v>
      </c>
    </row>
    <row r="6" customFormat="false" ht="14.25" hidden="false" customHeight="true" outlineLevel="0" collapsed="false">
      <c r="A6" s="8" t="s">
        <v>44</v>
      </c>
      <c r="B6" s="9"/>
      <c r="C6" s="9"/>
      <c r="D6" s="9"/>
      <c r="E6" s="10" t="n">
        <f aca="false">SUM(E2:E5)</f>
        <v>400</v>
      </c>
      <c r="F6" s="9"/>
    </row>
    <row r="8" customFormat="false" ht="14.25" hidden="false" customHeight="false" outlineLevel="0" collapsed="false">
      <c r="A8" s="3" t="s">
        <v>45</v>
      </c>
      <c r="E8" s="11" t="n">
        <f aca="false">SUMIF(Backlog!$O:$O,"Hecho",Backlog!$J:$J)</f>
        <v>16</v>
      </c>
    </row>
    <row r="9" customFormat="false" ht="14.25" hidden="false" customHeight="false" outlineLevel="0" collapsed="false">
      <c r="A9" s="12" t="s">
        <v>46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B6" activeCellId="0" sqref="B6"/>
    </sheetView>
  </sheetViews>
  <sheetFormatPr defaultColWidth="8.66796875" defaultRowHeight="14.2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58"/>
    <col collapsed="false" customWidth="true" hidden="false" outlineLevel="0" max="6" min="3" style="0" width="10"/>
    <col collapsed="false" customWidth="true" hidden="false" outlineLevel="0" max="7" min="7" style="0" width="11"/>
    <col collapsed="false" customWidth="true" hidden="false" outlineLevel="0" max="8" min="8" style="0" width="12"/>
  </cols>
  <sheetData>
    <row r="1" customFormat="false" ht="15" hidden="false" customHeight="true" outlineLevel="0" collapsed="false">
      <c r="A1" s="5" t="s">
        <v>47</v>
      </c>
    </row>
    <row r="2" customFormat="false" ht="14.25" hidden="false" customHeight="false" outlineLevel="0" collapsed="false">
      <c r="A2" s="12" t="s">
        <v>48</v>
      </c>
    </row>
    <row r="4" customFormat="false" ht="26.25" hidden="false" customHeight="true" outlineLevel="0" collapsed="false">
      <c r="A4" s="7" t="s">
        <v>49</v>
      </c>
      <c r="B4" s="7" t="s">
        <v>50</v>
      </c>
      <c r="C4" s="7" t="s">
        <v>24</v>
      </c>
      <c r="D4" s="7" t="s">
        <v>29</v>
      </c>
      <c r="E4" s="7" t="s">
        <v>34</v>
      </c>
      <c r="F4" s="7" t="s">
        <v>39</v>
      </c>
      <c r="G4" s="7" t="s">
        <v>51</v>
      </c>
      <c r="H4" s="7" t="s">
        <v>52</v>
      </c>
    </row>
    <row r="5" customFormat="false" ht="43.5" hidden="false" customHeight="true" outlineLevel="0" collapsed="false">
      <c r="A5" s="8" t="s">
        <v>53</v>
      </c>
      <c r="B5" s="9" t="s">
        <v>54</v>
      </c>
      <c r="C5" s="13" t="n">
        <f aca="false">SUMIFS(Backlog!$J:$J,Backlog!$P:$P,$A5,Backlog!$E:$E,C$4)</f>
        <v>30</v>
      </c>
      <c r="D5" s="13" t="n">
        <f aca="false">SUMIFS(Backlog!$J:$J,Backlog!$P:$P,$A5,Backlog!$E:$E,D$4)</f>
        <v>28</v>
      </c>
      <c r="E5" s="13" t="n">
        <f aca="false">SUMIFS(Backlog!$J:$J,Backlog!$P:$P,$A5,Backlog!$E:$E,E$4)</f>
        <v>23</v>
      </c>
      <c r="F5" s="13" t="n">
        <f aca="false">SUMIFS(Backlog!$J:$J,Backlog!$P:$P,$A5,Backlog!$E:$E,F$4)</f>
        <v>28</v>
      </c>
      <c r="G5" s="14" t="n">
        <f aca="false">SUM(C5:F5)</f>
        <v>109</v>
      </c>
      <c r="H5" s="15" t="n">
        <f aca="false">G5/$C$14</f>
        <v>16.5869565217391</v>
      </c>
    </row>
    <row r="6" customFormat="false" ht="43.5" hidden="false" customHeight="true" outlineLevel="0" collapsed="false">
      <c r="A6" s="8" t="s">
        <v>55</v>
      </c>
      <c r="B6" s="16" t="s">
        <v>56</v>
      </c>
      <c r="C6" s="13" t="n">
        <f aca="false">SUMIFS(Backlog!$J:$J,Backlog!$P:$P,$A6,Backlog!$E:$E,C$4)</f>
        <v>19</v>
      </c>
      <c r="D6" s="13" t="n">
        <f aca="false">SUMIFS(Backlog!$J:$J,Backlog!$P:$P,$A6,Backlog!$E:$E,D$4)</f>
        <v>28</v>
      </c>
      <c r="E6" s="13" t="n">
        <f aca="false">SUMIFS(Backlog!$J:$J,Backlog!$P:$P,$A6,Backlog!$E:$E,E$4)</f>
        <v>30</v>
      </c>
      <c r="F6" s="13" t="n">
        <f aca="false">SUMIFS(Backlog!$J:$J,Backlog!$P:$P,$A6,Backlog!$E:$E,F$4)</f>
        <v>24</v>
      </c>
      <c r="G6" s="14" t="n">
        <f aca="false">SUM(C6:F6)</f>
        <v>101</v>
      </c>
      <c r="H6" s="15" t="n">
        <f aca="false">G6/$C$14</f>
        <v>15.3695652173913</v>
      </c>
    </row>
    <row r="7" customFormat="false" ht="43.5" hidden="false" customHeight="true" outlineLevel="0" collapsed="false">
      <c r="A7" s="8" t="s">
        <v>57</v>
      </c>
      <c r="B7" s="9" t="s">
        <v>58</v>
      </c>
      <c r="C7" s="13" t="n">
        <f aca="false">SUMIFS(Backlog!$J:$J,Backlog!$P:$P,$A7,Backlog!$E:$E,C$4)</f>
        <v>15</v>
      </c>
      <c r="D7" s="13" t="n">
        <f aca="false">SUMIFS(Backlog!$J:$J,Backlog!$P:$P,$A7,Backlog!$E:$E,D$4)</f>
        <v>25</v>
      </c>
      <c r="E7" s="13" t="n">
        <f aca="false">SUMIFS(Backlog!$J:$J,Backlog!$P:$P,$A7,Backlog!$E:$E,E$4)</f>
        <v>25</v>
      </c>
      <c r="F7" s="13" t="n">
        <f aca="false">SUMIFS(Backlog!$J:$J,Backlog!$P:$P,$A7,Backlog!$E:$E,F$4)</f>
        <v>24</v>
      </c>
      <c r="G7" s="14" t="n">
        <f aca="false">SUM(C7:F7)</f>
        <v>89</v>
      </c>
      <c r="H7" s="15" t="n">
        <f aca="false">G7/$C$14</f>
        <v>13.5434782608696</v>
      </c>
    </row>
    <row r="8" customFormat="false" ht="43.5" hidden="false" customHeight="true" outlineLevel="0" collapsed="false">
      <c r="A8" s="8" t="s">
        <v>59</v>
      </c>
      <c r="B8" s="9" t="s">
        <v>60</v>
      </c>
      <c r="C8" s="13" t="n">
        <f aca="false">SUMIFS(Backlog!$J:$J,Backlog!$P:$P,$A8,Backlog!$E:$E,C$4)</f>
        <v>21</v>
      </c>
      <c r="D8" s="13" t="n">
        <f aca="false">SUMIFS(Backlog!$J:$J,Backlog!$P:$P,$A8,Backlog!$E:$E,D$4)</f>
        <v>26</v>
      </c>
      <c r="E8" s="13" t="n">
        <f aca="false">SUMIFS(Backlog!$J:$J,Backlog!$P:$P,$A8,Backlog!$E:$E,E$4)</f>
        <v>30</v>
      </c>
      <c r="F8" s="13" t="n">
        <f aca="false">SUMIFS(Backlog!$J:$J,Backlog!$P:$P,$A8,Backlog!$E:$E,F$4)</f>
        <v>24</v>
      </c>
      <c r="G8" s="14" t="n">
        <f aca="false">SUM(C8:F8)</f>
        <v>101</v>
      </c>
      <c r="H8" s="15" t="n">
        <f aca="false">G8/$C$14</f>
        <v>15.3695652173913</v>
      </c>
    </row>
    <row r="9" customFormat="false" ht="14.25" hidden="false" customHeight="false" outlineLevel="0" collapsed="false">
      <c r="A9" s="8" t="s">
        <v>61</v>
      </c>
      <c r="B9" s="9"/>
      <c r="C9" s="14" t="n">
        <f aca="false">SUM(C5:C8)</f>
        <v>85</v>
      </c>
      <c r="D9" s="14" t="n">
        <f aca="false">SUM(D5:D8)</f>
        <v>107</v>
      </c>
      <c r="E9" s="14" t="n">
        <f aca="false">SUM(E5:E8)</f>
        <v>108</v>
      </c>
      <c r="F9" s="14" t="n">
        <f aca="false">SUM(F5:F8)</f>
        <v>100</v>
      </c>
      <c r="G9" s="14" t="n">
        <f aca="false">SUM(G5:G8)</f>
        <v>400</v>
      </c>
      <c r="H9" s="9"/>
    </row>
    <row r="10" customFormat="false" ht="14.25" hidden="false" customHeight="false" outlineLevel="0" collapsed="false">
      <c r="A10" s="8" t="s">
        <v>62</v>
      </c>
      <c r="B10" s="9" t="s">
        <v>63</v>
      </c>
      <c r="C10" s="13" t="n">
        <f aca="false">ROUND(C13/7*$C$15*4,0)</f>
        <v>94</v>
      </c>
      <c r="D10" s="13" t="n">
        <f aca="false">ROUND(D13/7*$C$15*4,0)</f>
        <v>103</v>
      </c>
      <c r="E10" s="13" t="n">
        <f aca="false">ROUND(E13/7*$C$15*4,0)</f>
        <v>103</v>
      </c>
      <c r="F10" s="13" t="n">
        <f aca="false">ROUND(F13/7*$C$15*4,0)</f>
        <v>94</v>
      </c>
      <c r="G10" s="14" t="n">
        <f aca="false">SUM(C10:F10)</f>
        <v>394</v>
      </c>
      <c r="H10" s="9"/>
    </row>
    <row r="11" customFormat="false" ht="27.75" hidden="false" customHeight="true" outlineLevel="0" collapsed="false">
      <c r="A11" s="8" t="s">
        <v>64</v>
      </c>
      <c r="B11" s="9" t="s">
        <v>65</v>
      </c>
      <c r="C11" s="13" t="n">
        <f aca="false">C10-C9</f>
        <v>9</v>
      </c>
      <c r="D11" s="13" t="n">
        <f aca="false">D10-D9</f>
        <v>-4</v>
      </c>
      <c r="E11" s="13" t="n">
        <f aca="false">E10-E9</f>
        <v>-5</v>
      </c>
      <c r="F11" s="13" t="n">
        <f aca="false">F10-F9</f>
        <v>-6</v>
      </c>
      <c r="G11" s="13" t="n">
        <f aca="false">G10-G9</f>
        <v>-6</v>
      </c>
      <c r="H11" s="9"/>
    </row>
    <row r="13" customFormat="false" ht="14.25" hidden="false" customHeight="false" outlineLevel="0" collapsed="false">
      <c r="A13" s="3" t="s">
        <v>66</v>
      </c>
      <c r="B13" s="17" t="s">
        <v>67</v>
      </c>
      <c r="C13" s="18" t="n">
        <v>11</v>
      </c>
      <c r="D13" s="18" t="n">
        <v>12</v>
      </c>
      <c r="E13" s="18" t="n">
        <v>12</v>
      </c>
      <c r="F13" s="18" t="n">
        <v>11</v>
      </c>
    </row>
    <row r="14" customFormat="false" ht="14.25" hidden="false" customHeight="false" outlineLevel="0" collapsed="false">
      <c r="A14" s="3" t="s">
        <v>68</v>
      </c>
      <c r="B14" s="17" t="s">
        <v>69</v>
      </c>
      <c r="C14" s="19" t="n">
        <f aca="false">SUM(C13:F13)/7</f>
        <v>6.57142857142857</v>
      </c>
    </row>
    <row r="15" customFormat="false" ht="14.25" hidden="false" customHeight="false" outlineLevel="0" collapsed="false">
      <c r="A15" s="3" t="s">
        <v>70</v>
      </c>
      <c r="B15" s="17" t="s">
        <v>71</v>
      </c>
      <c r="C15" s="18" t="n">
        <v>15</v>
      </c>
    </row>
    <row r="17" customFormat="false" ht="14.25" hidden="false" customHeight="false" outlineLevel="0" collapsed="false">
      <c r="A17" s="12" t="s">
        <v>72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6796875" defaultRowHeight="14.2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38"/>
    <col collapsed="false" customWidth="true" hidden="false" outlineLevel="0" max="3" min="3" style="0" width="62"/>
    <col collapsed="false" customWidth="true" hidden="false" outlineLevel="0" max="4" min="4" style="0" width="30"/>
    <col collapsed="false" customWidth="true" hidden="false" outlineLevel="0" max="5" min="5" style="0" width="16"/>
  </cols>
  <sheetData>
    <row r="1" customFormat="false" ht="21.75" hidden="false" customHeight="true" outlineLevel="0" collapsed="false">
      <c r="A1" s="7" t="s">
        <v>73</v>
      </c>
      <c r="B1" s="7" t="s">
        <v>74</v>
      </c>
      <c r="C1" s="7" t="s">
        <v>75</v>
      </c>
      <c r="D1" s="7" t="s">
        <v>76</v>
      </c>
      <c r="E1" s="7" t="s">
        <v>77</v>
      </c>
    </row>
    <row r="2" customFormat="false" ht="42" hidden="false" customHeight="true" outlineLevel="0" collapsed="false">
      <c r="A2" s="8" t="s">
        <v>78</v>
      </c>
      <c r="B2" s="8" t="s">
        <v>79</v>
      </c>
      <c r="C2" s="9" t="s">
        <v>80</v>
      </c>
      <c r="D2" s="9" t="s">
        <v>81</v>
      </c>
      <c r="E2" s="9" t="s">
        <v>24</v>
      </c>
    </row>
    <row r="3" customFormat="false" ht="42" hidden="false" customHeight="true" outlineLevel="0" collapsed="false">
      <c r="A3" s="8" t="s">
        <v>82</v>
      </c>
      <c r="B3" s="8" t="s">
        <v>83</v>
      </c>
      <c r="C3" s="9" t="s">
        <v>84</v>
      </c>
      <c r="D3" s="9" t="s">
        <v>85</v>
      </c>
      <c r="E3" s="9" t="s">
        <v>86</v>
      </c>
    </row>
    <row r="4" customFormat="false" ht="42" hidden="false" customHeight="true" outlineLevel="0" collapsed="false">
      <c r="A4" s="8" t="s">
        <v>87</v>
      </c>
      <c r="B4" s="8" t="s">
        <v>88</v>
      </c>
      <c r="C4" s="9" t="s">
        <v>89</v>
      </c>
      <c r="D4" s="9" t="s">
        <v>90</v>
      </c>
      <c r="E4" s="9" t="s">
        <v>91</v>
      </c>
    </row>
    <row r="5" customFormat="false" ht="42" hidden="false" customHeight="true" outlineLevel="0" collapsed="false">
      <c r="A5" s="8" t="s">
        <v>92</v>
      </c>
      <c r="B5" s="8" t="s">
        <v>93</v>
      </c>
      <c r="C5" s="9" t="s">
        <v>94</v>
      </c>
      <c r="D5" s="9" t="s">
        <v>95</v>
      </c>
      <c r="E5" s="9" t="s">
        <v>34</v>
      </c>
    </row>
    <row r="6" customFormat="false" ht="42" hidden="false" customHeight="true" outlineLevel="0" collapsed="false">
      <c r="A6" s="8" t="s">
        <v>96</v>
      </c>
      <c r="B6" s="8" t="s">
        <v>97</v>
      </c>
      <c r="C6" s="9" t="s">
        <v>98</v>
      </c>
      <c r="D6" s="9" t="s">
        <v>99</v>
      </c>
      <c r="E6" s="9" t="s">
        <v>100</v>
      </c>
    </row>
    <row r="7" customFormat="false" ht="42" hidden="false" customHeight="true" outlineLevel="0" collapsed="false">
      <c r="A7" s="8" t="s">
        <v>101</v>
      </c>
      <c r="B7" s="8" t="s">
        <v>102</v>
      </c>
      <c r="C7" s="9" t="s">
        <v>103</v>
      </c>
      <c r="D7" s="9" t="s">
        <v>104</v>
      </c>
      <c r="E7" s="9" t="s">
        <v>39</v>
      </c>
    </row>
    <row r="8" customFormat="false" ht="42" hidden="false" customHeight="true" outlineLevel="0" collapsed="false">
      <c r="A8" s="8" t="s">
        <v>105</v>
      </c>
      <c r="B8" s="8" t="s">
        <v>106</v>
      </c>
      <c r="C8" s="9" t="s">
        <v>107</v>
      </c>
      <c r="D8" s="9" t="s">
        <v>108</v>
      </c>
      <c r="E8" s="9" t="s">
        <v>109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15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6" ySplit="1" topLeftCell="G2" activePane="bottomRight" state="frozen"/>
      <selection pane="topLeft" activeCell="A1" activeCellId="0" sqref="A1"/>
      <selection pane="topRight" activeCell="G1" activeCellId="0" sqref="G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8"/>
    <col collapsed="false" customWidth="true" hidden="false" outlineLevel="0" max="3" min="3" style="0" width="10"/>
    <col collapsed="false" customWidth="true" hidden="false" outlineLevel="0" max="5" min="4" style="0" width="9"/>
    <col collapsed="false" customWidth="true" hidden="false" outlineLevel="0" max="6" min="6" style="0" width="38"/>
    <col collapsed="false" customWidth="true" hidden="false" outlineLevel="0" max="7" min="7" style="0" width="60"/>
    <col collapsed="false" customWidth="true" hidden="false" outlineLevel="0" max="8" min="8" style="0" width="50"/>
    <col collapsed="false" customWidth="true" hidden="false" outlineLevel="0" max="9" min="9" style="0" width="13"/>
    <col collapsed="false" customWidth="true" hidden="false" outlineLevel="0" max="10" min="10" style="0" width="10"/>
    <col collapsed="false" customWidth="true" hidden="false" outlineLevel="0" max="13" min="11" style="0" width="11"/>
    <col collapsed="false" customWidth="true" hidden="false" outlineLevel="0" max="14" min="14" style="0" width="9"/>
    <col collapsed="false" customWidth="true" hidden="false" outlineLevel="0" max="15" min="15" style="0" width="11"/>
    <col collapsed="false" customWidth="true" hidden="false" outlineLevel="0" max="16" min="16" style="0" width="18"/>
    <col collapsed="false" customWidth="true" hidden="false" outlineLevel="0" max="17" min="17" style="0" width="16"/>
    <col collapsed="false" customWidth="true" hidden="false" outlineLevel="0" max="18" min="18" style="0" width="30"/>
    <col collapsed="false" customWidth="true" hidden="false" outlineLevel="0" max="19" min="19" style="0" width="40"/>
  </cols>
  <sheetData>
    <row r="1" customFormat="false" ht="31.5" hidden="false" customHeight="true" outlineLevel="0" collapsed="false">
      <c r="A1" s="7" t="s">
        <v>73</v>
      </c>
      <c r="B1" s="7" t="s">
        <v>110</v>
      </c>
      <c r="C1" s="7" t="s">
        <v>111</v>
      </c>
      <c r="D1" s="7" t="s">
        <v>112</v>
      </c>
      <c r="E1" s="7" t="s">
        <v>18</v>
      </c>
      <c r="F1" s="7" t="s">
        <v>113</v>
      </c>
      <c r="G1" s="7" t="s">
        <v>75</v>
      </c>
      <c r="H1" s="7" t="s">
        <v>114</v>
      </c>
      <c r="I1" s="7" t="s">
        <v>115</v>
      </c>
      <c r="J1" s="7" t="s">
        <v>116</v>
      </c>
      <c r="K1" s="7" t="s">
        <v>117</v>
      </c>
      <c r="L1" s="7" t="s">
        <v>118</v>
      </c>
      <c r="M1" s="7" t="s">
        <v>119</v>
      </c>
      <c r="N1" s="7" t="s">
        <v>120</v>
      </c>
      <c r="O1" s="7" t="s">
        <v>121</v>
      </c>
      <c r="P1" s="7" t="s">
        <v>122</v>
      </c>
      <c r="Q1" s="7" t="s">
        <v>123</v>
      </c>
      <c r="R1" s="7" t="s">
        <v>124</v>
      </c>
      <c r="S1" s="7" t="s">
        <v>125</v>
      </c>
    </row>
    <row r="2" customFormat="false" ht="80.25" hidden="false" customHeight="true" outlineLevel="0" collapsed="false">
      <c r="A2" s="20" t="n">
        <v>1</v>
      </c>
      <c r="B2" s="20"/>
      <c r="C2" s="9" t="s">
        <v>126</v>
      </c>
      <c r="D2" s="9" t="s">
        <v>78</v>
      </c>
      <c r="E2" s="9" t="s">
        <v>24</v>
      </c>
      <c r="F2" s="8" t="s">
        <v>127</v>
      </c>
      <c r="G2" s="9" t="s">
        <v>128</v>
      </c>
      <c r="H2" s="9" t="s">
        <v>129</v>
      </c>
      <c r="I2" s="9" t="s">
        <v>130</v>
      </c>
      <c r="J2" s="20" t="n">
        <v>4</v>
      </c>
      <c r="K2" s="20" t="n">
        <f aca="false">IF(COUNTIF($B$2:$B$150,A2)&gt;0,SUMIFS($J$2:$J$150,$B$2:$B$150,A2)+N(J2),J2)</f>
        <v>4</v>
      </c>
      <c r="L2" s="20" t="s">
        <v>131</v>
      </c>
      <c r="M2" s="20" t="s">
        <v>132</v>
      </c>
      <c r="N2" s="21" t="s">
        <v>133</v>
      </c>
      <c r="O2" s="22" t="s">
        <v>134</v>
      </c>
      <c r="P2" s="9" t="s">
        <v>53</v>
      </c>
      <c r="Q2" s="9" t="s">
        <v>135</v>
      </c>
      <c r="R2" s="9"/>
      <c r="S2" s="23" t="str">
        <f aca="false">G2&amp;IF(H2="","",CHAR(10)&amp;CHAR(10)&amp;"Criterios de aceptación:"&amp;CHAR(10)&amp;H2)</f>
        <v>Organización de GitHub, repositorios aprendizaje-usco-backend y aprendizaje-usco-frontend, ramas main y develop, develop como rama por defecto, rulesets (PR obligatorio, 1 aprobación, sin force push) e invitación del equipo.
Criterios de aceptación:
• Ambos repositorios existen en la organización con main y develop.
• No se puede hacer push directo a main ni a develop.
• Los cuatro integrantes tienen permiso de escritura.</v>
      </c>
    </row>
    <row r="3" customFormat="false" ht="60.75" hidden="false" customHeight="true" outlineLevel="0" collapsed="false">
      <c r="A3" s="20" t="n">
        <v>2</v>
      </c>
      <c r="B3" s="20"/>
      <c r="C3" s="9" t="s">
        <v>126</v>
      </c>
      <c r="D3" s="9" t="s">
        <v>78</v>
      </c>
      <c r="E3" s="9" t="s">
        <v>24</v>
      </c>
      <c r="F3" s="8" t="s">
        <v>136</v>
      </c>
      <c r="G3" s="9" t="s">
        <v>137</v>
      </c>
      <c r="H3" s="9" t="s">
        <v>138</v>
      </c>
      <c r="I3" s="9" t="s">
        <v>130</v>
      </c>
      <c r="J3" s="20" t="n">
        <v>2</v>
      </c>
      <c r="K3" s="20" t="n">
        <f aca="false">IF(COUNTIF($B$2:$B$150,A3)&gt;0,SUMIFS($J$2:$J$150,$B$2:$B$150,A3)+N(J3),J3)</f>
        <v>2</v>
      </c>
      <c r="L3" s="20" t="s">
        <v>131</v>
      </c>
      <c r="M3" s="20" t="s">
        <v>132</v>
      </c>
      <c r="N3" s="24" t="s">
        <v>139</v>
      </c>
      <c r="O3" s="22" t="s">
        <v>134</v>
      </c>
      <c r="P3" s="9" t="s">
        <v>53</v>
      </c>
      <c r="Q3" s="9" t="s">
        <v>140</v>
      </c>
      <c r="R3" s="25" t="s">
        <v>141</v>
      </c>
      <c r="S3" s="23" t="str">
        <f aca="false">G3&amp;IF(H3="","",CHAR(10)&amp;CHAR(10)&amp;"Criterios de aceptación:"&amp;CHAR(10)&amp;H3)</f>
        <v>README.md de backend y frontend (instalación, comandos, variables de entorno, estructura, responsables, problemas frecuentes), CONTRIBUTING.md común y plantilla de pull request en .github/.
Criterios de aceptación:
• Un integrante nuevo puede levantar ambos proyectos siguiendo solo los README.
• La plantilla de PR aparece al abrir un pull request.</v>
      </c>
    </row>
    <row r="4" customFormat="false" ht="81" hidden="false" customHeight="true" outlineLevel="0" collapsed="false">
      <c r="A4" s="20" t="n">
        <v>3</v>
      </c>
      <c r="B4" s="20"/>
      <c r="C4" s="9" t="s">
        <v>126</v>
      </c>
      <c r="D4" s="9" t="s">
        <v>78</v>
      </c>
      <c r="E4" s="9" t="s">
        <v>24</v>
      </c>
      <c r="F4" s="8" t="s">
        <v>142</v>
      </c>
      <c r="G4" s="9" t="s">
        <v>143</v>
      </c>
      <c r="H4" s="9" t="s">
        <v>144</v>
      </c>
      <c r="I4" s="9" t="s">
        <v>130</v>
      </c>
      <c r="J4" s="20"/>
      <c r="K4" s="20" t="n">
        <f aca="false">IF(COUNTIF($B$2:$B$150,A4)&gt;0,SUMIFS($J$2:$J$150,$B$2:$B$150,A4)+N(J4),J4)</f>
        <v>10</v>
      </c>
      <c r="L4" s="20" t="s">
        <v>131</v>
      </c>
      <c r="M4" s="20" t="s">
        <v>132</v>
      </c>
      <c r="N4" s="21" t="s">
        <v>133</v>
      </c>
      <c r="O4" s="9" t="s">
        <v>145</v>
      </c>
      <c r="P4" s="9" t="s">
        <v>53</v>
      </c>
      <c r="Q4" s="9" t="s">
        <v>146</v>
      </c>
      <c r="R4" s="9"/>
      <c r="S4" s="23" t="str">
        <f aca="false">G4&amp;IF(H4="","",CHAR(10)&amp;CHAR(10)&amp;"Criterios de aceptación:"&amp;CHAR(10)&amp;H4)</f>
        <v>Proyecto Spring Boot 4.1 / Java 21 generado con Initializr, organizado por módulo funcional con capas internas (controller, service, repository, dto, entity), perfiles dev/test y conexión a PostgreSQL con Docker Compose.
Criterios de aceptación:
• ./mvnw spring-boot:run levanta la API y /actuator/health responde UP.
• Swagger UI carga en /swagger-ui.html.
• Cualquier error de la API responde con el formato JSON estándar.</v>
      </c>
    </row>
    <row r="5" customFormat="false" ht="42.75" hidden="false" customHeight="true" outlineLevel="0" collapsed="false">
      <c r="A5" s="26" t="n">
        <v>4</v>
      </c>
      <c r="B5" s="26" t="n">
        <v>3</v>
      </c>
      <c r="C5" s="27" t="s">
        <v>147</v>
      </c>
      <c r="D5" s="27" t="s">
        <v>78</v>
      </c>
      <c r="E5" s="27" t="s">
        <v>24</v>
      </c>
      <c r="F5" s="28" t="s">
        <v>148</v>
      </c>
      <c r="G5" s="27" t="s">
        <v>149</v>
      </c>
      <c r="H5" s="27" t="s">
        <v>150</v>
      </c>
      <c r="I5" s="27"/>
      <c r="J5" s="26" t="n">
        <v>3</v>
      </c>
      <c r="K5" s="26"/>
      <c r="L5" s="26" t="s">
        <v>131</v>
      </c>
      <c r="M5" s="26" t="s">
        <v>132</v>
      </c>
      <c r="N5" s="21" t="s">
        <v>133</v>
      </c>
      <c r="O5" s="22" t="s">
        <v>134</v>
      </c>
      <c r="P5" s="27" t="s">
        <v>53</v>
      </c>
      <c r="Q5" s="27" t="s">
        <v>146</v>
      </c>
      <c r="R5" s="27"/>
      <c r="S5" s="29" t="str">
        <f aca="false">G5&amp;IF(H5="","",CHAR(10)&amp;CHAR(10)&amp;"Criterios de aceptación:"&amp;CHAR(10)&amp;H5)</f>
        <v>Spring Web, Data JPA, PostgreSQL, Flyway, Security, OAuth2 Resource Server, Validation, Lombok, DevTools, Actuator, Docker Compose, Testcontainers + springdoc 3.x.
Criterios de aceptación:
• Compila y la prueba generada pasa.</v>
      </c>
    </row>
    <row r="6" customFormat="false" ht="34.5" hidden="false" customHeight="true" outlineLevel="0" collapsed="false">
      <c r="A6" s="26" t="n">
        <v>5</v>
      </c>
      <c r="B6" s="26" t="n">
        <v>3</v>
      </c>
      <c r="C6" s="27" t="s">
        <v>147</v>
      </c>
      <c r="D6" s="27" t="s">
        <v>78</v>
      </c>
      <c r="E6" s="27" t="s">
        <v>24</v>
      </c>
      <c r="F6" s="28" t="s">
        <v>151</v>
      </c>
      <c r="G6" s="27" t="s">
        <v>152</v>
      </c>
      <c r="H6" s="27" t="s">
        <v>153</v>
      </c>
      <c r="I6" s="27"/>
      <c r="J6" s="26" t="n">
        <v>2</v>
      </c>
      <c r="K6" s="26"/>
      <c r="L6" s="26" t="s">
        <v>131</v>
      </c>
      <c r="M6" s="26" t="s">
        <v>132</v>
      </c>
      <c r="N6" s="21" t="s">
        <v>133</v>
      </c>
      <c r="O6" s="22" t="s">
        <v>134</v>
      </c>
      <c r="P6" s="27" t="s">
        <v>53</v>
      </c>
      <c r="Q6" s="27" t="s">
        <v>146</v>
      </c>
      <c r="R6" s="27"/>
      <c r="S6" s="29" t="str">
        <f aca="false">G6&amp;IF(H6="","",CHAR(10)&amp;CHAR(10)&amp;"Criterios de aceptación:"&amp;CHAR(10)&amp;H6)</f>
        <v>application.yml común, application-dev.yml, application-test.yml, PostgreSQL 17 en compose.yaml, ddl-auto: validate.
Criterios de aceptación:
• La app conecta a PostgreSQL local en perfil dev.</v>
      </c>
    </row>
    <row r="7" customFormat="false" ht="43.5" hidden="false" customHeight="true" outlineLevel="0" collapsed="false">
      <c r="A7" s="26" t="n">
        <v>6</v>
      </c>
      <c r="B7" s="26" t="n">
        <v>3</v>
      </c>
      <c r="C7" s="27" t="s">
        <v>147</v>
      </c>
      <c r="D7" s="27" t="s">
        <v>78</v>
      </c>
      <c r="E7" s="27" t="s">
        <v>24</v>
      </c>
      <c r="F7" s="28" t="s">
        <v>154</v>
      </c>
      <c r="G7" s="27" t="s">
        <v>155</v>
      </c>
      <c r="H7" s="27" t="s">
        <v>156</v>
      </c>
      <c r="I7" s="27"/>
      <c r="J7" s="26" t="n">
        <v>2</v>
      </c>
      <c r="K7" s="26"/>
      <c r="L7" s="26" t="s">
        <v>131</v>
      </c>
      <c r="M7" s="26" t="s">
        <v>132</v>
      </c>
      <c r="N7" s="21" t="s">
        <v>133</v>
      </c>
      <c r="O7" s="22" t="s">
        <v>134</v>
      </c>
      <c r="P7" s="27" t="s">
        <v>53</v>
      </c>
      <c r="Q7" s="27" t="s">
        <v>146</v>
      </c>
      <c r="R7" s="27"/>
      <c r="S7" s="29" t="str">
        <f aca="false">G7&amp;IF(H7="","",CHAR(10)&amp;CHAR(10)&amp;"Criterios de aceptación:"&amp;CHAR(10)&amp;H7)</f>
        <v>Paquetes config, security, common, usuario, diagnostico, practica, contenido, progreso, analitica. SecurityConfig con rutas públicas (/api/auth/**, health, Swagger).
Criterios de aceptación:
• Health y Swagger accesibles sin token; el resto devuelve 401.</v>
      </c>
    </row>
    <row r="8" customFormat="false" ht="110.25" hidden="false" customHeight="true" outlineLevel="0" collapsed="false">
      <c r="A8" s="26" t="n">
        <v>7</v>
      </c>
      <c r="B8" s="26" t="n">
        <v>3</v>
      </c>
      <c r="C8" s="27" t="s">
        <v>147</v>
      </c>
      <c r="D8" s="27" t="s">
        <v>78</v>
      </c>
      <c r="E8" s="27" t="s">
        <v>24</v>
      </c>
      <c r="F8" s="28" t="s">
        <v>157</v>
      </c>
      <c r="G8" s="27" t="s">
        <v>158</v>
      </c>
      <c r="H8" s="27" t="s">
        <v>159</v>
      </c>
      <c r="I8" s="27"/>
      <c r="J8" s="26" t="n">
        <v>2</v>
      </c>
      <c r="K8" s="26"/>
      <c r="L8" s="26" t="s">
        <v>160</v>
      </c>
      <c r="M8" s="26" t="s">
        <v>161</v>
      </c>
      <c r="N8" s="21" t="s">
        <v>133</v>
      </c>
      <c r="O8" s="27" t="s">
        <v>162</v>
      </c>
      <c r="P8" s="27" t="s">
        <v>55</v>
      </c>
      <c r="Q8" s="27" t="s">
        <v>146</v>
      </c>
      <c r="R8" s="27"/>
      <c r="S8" s="29" t="str">
        <f aca="false">G8&amp;IF(H8="","",CHAR(10)&amp;CHAR(10)&amp;"Criterios de aceptación:"&amp;CHAR(10)&amp;H8)</f>
        <v>En common/: clase ErrorResponse (timestamp, status, message, path), @RestControllerAdvice que traduce MethodArgumentNotValidException (400, con los campos inválidos), EntityNotFound/ResourceNotFound propia (404), DataIntegrityViolation (409) y Exception genérica (500 sin exponer la traza). Excepciones propias: RecursoNoEncontradoException, ConflictoException, ReglaNegocioException.
Criterios de aceptación:
• Un DTO inválido devuelve 400 con la lista de campos y mensajes.
• Un id inexistente devuelve 404 con el formato estándar.
• Un error inesperado devuelve 500 sin stack trace en la respuesta.</v>
      </c>
    </row>
    <row r="9" customFormat="false" ht="69" hidden="false" customHeight="true" outlineLevel="0" collapsed="false">
      <c r="A9" s="26" t="n">
        <v>8</v>
      </c>
      <c r="B9" s="26" t="n">
        <v>3</v>
      </c>
      <c r="C9" s="27" t="s">
        <v>147</v>
      </c>
      <c r="D9" s="27" t="s">
        <v>78</v>
      </c>
      <c r="E9" s="27" t="s">
        <v>24</v>
      </c>
      <c r="F9" s="28" t="s">
        <v>163</v>
      </c>
      <c r="G9" s="27" t="s">
        <v>164</v>
      </c>
      <c r="H9" s="27" t="s">
        <v>165</v>
      </c>
      <c r="I9" s="27"/>
      <c r="J9" s="26" t="n">
        <v>1</v>
      </c>
      <c r="K9" s="26"/>
      <c r="L9" s="26" t="s">
        <v>166</v>
      </c>
      <c r="M9" s="26" t="s">
        <v>167</v>
      </c>
      <c r="N9" s="21" t="s">
        <v>133</v>
      </c>
      <c r="O9" s="27" t="s">
        <v>162</v>
      </c>
      <c r="P9" s="27" t="s">
        <v>53</v>
      </c>
      <c r="Q9" s="27" t="s">
        <v>146</v>
      </c>
      <c r="R9" s="27"/>
      <c r="S9" s="29" t="str">
        <f aca="false">G9&amp;IF(H9="","",CHAR(10)&amp;CHAR(10)&amp;"Criterios de aceptación:"&amp;CHAR(10)&amp;H9)</f>
        <v>CorsConfigurationSource leyendo app.cors.allowed-origins (métodos GET, POST, PUT, PATCH, DELETE; header Authorization). En OpenAPI, esquema de seguridad bearerAuth (JWT) para poder probar endpoints protegidos con el botón Authorize.
Criterios de aceptación:
• El frontend en localhost:5173 consume la API sin errores de CORS.
• Desde Swagger se puede pegar un token y llamar un endpoint protegido.</v>
      </c>
    </row>
    <row r="10" customFormat="false" ht="89.25" hidden="false" customHeight="true" outlineLevel="0" collapsed="false">
      <c r="A10" s="20" t="n">
        <v>9</v>
      </c>
      <c r="B10" s="20"/>
      <c r="C10" s="9" t="s">
        <v>126</v>
      </c>
      <c r="D10" s="9" t="s">
        <v>78</v>
      </c>
      <c r="E10" s="9" t="s">
        <v>24</v>
      </c>
      <c r="F10" s="8" t="s">
        <v>168</v>
      </c>
      <c r="G10" s="9" t="s">
        <v>169</v>
      </c>
      <c r="H10" s="9" t="s">
        <v>170</v>
      </c>
      <c r="I10" s="9" t="s">
        <v>130</v>
      </c>
      <c r="J10" s="20"/>
      <c r="K10" s="20" t="n">
        <f aca="false">IF(COUNTIF($B$2:$B$150,A10)&gt;0,SUMIFS($J$2:$J$150,$B$2:$B$150,A10)+N(J10),J10)</f>
        <v>10</v>
      </c>
      <c r="L10" s="20" t="s">
        <v>131</v>
      </c>
      <c r="M10" s="20" t="s">
        <v>132</v>
      </c>
      <c r="N10" s="21" t="s">
        <v>133</v>
      </c>
      <c r="O10" s="9" t="s">
        <v>145</v>
      </c>
      <c r="P10" s="9" t="s">
        <v>57</v>
      </c>
      <c r="Q10" s="9" t="s">
        <v>171</v>
      </c>
      <c r="R10" s="9" t="s">
        <v>172</v>
      </c>
      <c r="S10" s="23" t="str">
        <f aca="false">G10&amp;IF(H10="","",CHAR(10)&amp;CHAR(10)&amp;"Criterios de aceptación:"&amp;CHAR(10)&amp;H10)</f>
        <v>Proyecto Vite 8 + React en JavaScript con react-router, axios, MUI, recharts, KaTeX, react-hook-form y zod; estructura por features; enrutador con todas las rutas del README; layouts por rol y tema institucional.
Criterios de aceptación:
• npm run dev, lint y build sin errores.
• Todas las rutas del README existen (aunque sea con página provisional) y cada rol ve su propio menú.
• La interfaz usa los colores USCO desde el tema, no colores sueltos.</v>
      </c>
    </row>
    <row r="11" customFormat="false" ht="46.5" hidden="false" customHeight="true" outlineLevel="0" collapsed="false">
      <c r="A11" s="26" t="n">
        <v>10</v>
      </c>
      <c r="B11" s="26" t="n">
        <v>9</v>
      </c>
      <c r="C11" s="27" t="s">
        <v>147</v>
      </c>
      <c r="D11" s="27" t="s">
        <v>78</v>
      </c>
      <c r="E11" s="27" t="s">
        <v>24</v>
      </c>
      <c r="F11" s="28" t="s">
        <v>173</v>
      </c>
      <c r="G11" s="27" t="s">
        <v>174</v>
      </c>
      <c r="H11" s="27" t="s">
        <v>175</v>
      </c>
      <c r="I11" s="27"/>
      <c r="J11" s="26" t="n">
        <v>3</v>
      </c>
      <c r="K11" s="26"/>
      <c r="L11" s="26" t="s">
        <v>131</v>
      </c>
      <c r="M11" s="26" t="s">
        <v>132</v>
      </c>
      <c r="N11" s="21" t="s">
        <v>133</v>
      </c>
      <c r="O11" s="22" t="s">
        <v>134</v>
      </c>
      <c r="P11" s="27" t="s">
        <v>53</v>
      </c>
      <c r="Q11" s="27" t="s">
        <v>171</v>
      </c>
      <c r="R11" s="27"/>
      <c r="S11" s="29" t="str">
        <f aca="false">G11&amp;IF(H11="","",CHAR(10)&amp;CHAR(10)&amp;"Criterios de aceptación:"&amp;CHAR(10)&amp;H11)</f>
        <v>Plantilla react, dependencias de la guía, carpetas api/ routes/ context/ layouts/ features/ components/ theme/ utils/, VITE_API_URL, api/client.js con interceptor de token, Prettier.
Criterios de aceptación:
• El proyecto corre en localhost:5173.</v>
      </c>
    </row>
    <row r="12" customFormat="false" ht="87.75" hidden="false" customHeight="true" outlineLevel="0" collapsed="false">
      <c r="A12" s="26" t="n">
        <v>11</v>
      </c>
      <c r="B12" s="26" t="n">
        <v>9</v>
      </c>
      <c r="C12" s="27" t="s">
        <v>147</v>
      </c>
      <c r="D12" s="27" t="s">
        <v>78</v>
      </c>
      <c r="E12" s="27" t="s">
        <v>24</v>
      </c>
      <c r="F12" s="28" t="s">
        <v>176</v>
      </c>
      <c r="G12" s="27" t="s">
        <v>177</v>
      </c>
      <c r="H12" s="27" t="s">
        <v>178</v>
      </c>
      <c r="I12" s="27"/>
      <c r="J12" s="26" t="n">
        <v>2</v>
      </c>
      <c r="K12" s="26"/>
      <c r="L12" s="26" t="s">
        <v>166</v>
      </c>
      <c r="M12" s="26" t="s">
        <v>167</v>
      </c>
      <c r="N12" s="21" t="s">
        <v>133</v>
      </c>
      <c r="O12" s="27" t="s">
        <v>162</v>
      </c>
      <c r="P12" s="27" t="s">
        <v>57</v>
      </c>
      <c r="Q12" s="27" t="s">
        <v>171</v>
      </c>
      <c r="R12" s="27"/>
      <c r="S12" s="29" t="str">
        <f aca="false">G12&amp;IF(H12="","",CHAR(10)&amp;CHAR(10)&amp;"Criterios de aceptación:"&amp;CHAR(10)&amp;H12)</f>
        <v>theme/theme.js: palette.primary con el rojo/vino institucional y palette.secondary tomados del prototipo HTML; tipografía, border radius y breakpoints; CssBaseline. Verificar contraste de texto sobre primary (mínimo 4.5:1, WCAG AA) con un verificador de contraste.
Criterios de aceptación:
• ThemeProvider envuelve la app en main.jsx.
• Botones, AppBar y enlaces toman el color del tema.
• El contraste texto/fondo de los colores principales cumple 4.5:1.</v>
      </c>
    </row>
    <row r="13" customFormat="false" ht="103.5" hidden="false" customHeight="true" outlineLevel="0" collapsed="false">
      <c r="A13" s="26" t="n">
        <v>12</v>
      </c>
      <c r="B13" s="26" t="n">
        <v>9</v>
      </c>
      <c r="C13" s="27" t="s">
        <v>147</v>
      </c>
      <c r="D13" s="27" t="s">
        <v>78</v>
      </c>
      <c r="E13" s="27" t="s">
        <v>24</v>
      </c>
      <c r="F13" s="28" t="s">
        <v>179</v>
      </c>
      <c r="G13" s="27" t="s">
        <v>180</v>
      </c>
      <c r="H13" s="27" t="s">
        <v>181</v>
      </c>
      <c r="I13" s="27"/>
      <c r="J13" s="26" t="n">
        <v>2</v>
      </c>
      <c r="K13" s="26"/>
      <c r="L13" s="26" t="s">
        <v>166</v>
      </c>
      <c r="M13" s="26" t="s">
        <v>167</v>
      </c>
      <c r="N13" s="21" t="s">
        <v>133</v>
      </c>
      <c r="O13" s="27" t="s">
        <v>162</v>
      </c>
      <c r="P13" s="27" t="s">
        <v>57</v>
      </c>
      <c r="Q13" s="27" t="s">
        <v>171</v>
      </c>
      <c r="R13" s="27"/>
      <c r="S13" s="29" t="str">
        <f aca="false">G13&amp;IF(H13="","",CHAR(10)&amp;CHAR(10)&amp;"Criterios de aceptación:"&amp;CHAR(10)&amp;H13)</f>
        <v>routes/AppRouter.jsx con las rutas del README (/login, /estudiante/*, /docente/*, /admin, /no-autorizado, 404). Cada ruta protegida envuelta en ProtectedRoute con su rol. Páginas provisionales (título + "en construcción") por pantalla, para que cada integrante reemplace la suya. Página NoAutorizado y NotFound. "/" redirige según el rol o a /login.
Criterios de aceptación:
• Navegar a una ruta sin sesión lleva a /login.
• Un ESTUDIANTE que entra a /docente ve /no-autorizado.
• Una URL inexistente muestra la página 404.</v>
      </c>
    </row>
    <row r="14" customFormat="false" ht="102" hidden="false" customHeight="true" outlineLevel="0" collapsed="false">
      <c r="A14" s="26" t="n">
        <v>13</v>
      </c>
      <c r="B14" s="26" t="n">
        <v>9</v>
      </c>
      <c r="C14" s="27" t="s">
        <v>147</v>
      </c>
      <c r="D14" s="27" t="s">
        <v>78</v>
      </c>
      <c r="E14" s="27" t="s">
        <v>24</v>
      </c>
      <c r="F14" s="28" t="s">
        <v>182</v>
      </c>
      <c r="G14" s="27" t="s">
        <v>183</v>
      </c>
      <c r="H14" s="27" t="s">
        <v>184</v>
      </c>
      <c r="I14" s="27"/>
      <c r="J14" s="26" t="n">
        <v>3</v>
      </c>
      <c r="K14" s="26"/>
      <c r="L14" s="26" t="s">
        <v>166</v>
      </c>
      <c r="M14" s="26" t="s">
        <v>167</v>
      </c>
      <c r="N14" s="21" t="s">
        <v>133</v>
      </c>
      <c r="O14" s="27" t="s">
        <v>162</v>
      </c>
      <c r="P14" s="27" t="s">
        <v>57</v>
      </c>
      <c r="Q14" s="27" t="s">
        <v>171</v>
      </c>
      <c r="R14" s="27"/>
      <c r="S14" s="29" t="str">
        <f aca="false">G14&amp;IF(H14="","",CHAR(10)&amp;CHAR(10)&amp;"Criterios de aceptación:"&amp;CHAR(10)&amp;H14)</f>
        <v>layouts/EstudianteLayout, DocenteLayout y AdminLayout: AppBar con nombre del usuario y cerrar sesión, menú lateral con las opciones del rol (Drawer permanente en escritorio, temporal en móvil) y &lt;Outlet/&gt; para el contenido. Accesibilidad: landmarks (header, nav, main), enlace "Saltar al contenido", foco visible, menú operable con teclado.
Criterios de aceptación:
• Cada rol ve solo sus opciones de menú.
• En 375 px de ancho el menú se abre como cajón y no hay scroll horizontal.
• Todo el menú se recorre con Tab y se activa con Enter.</v>
      </c>
    </row>
    <row r="15" customFormat="false" ht="91.5" hidden="false" customHeight="true" outlineLevel="0" collapsed="false">
      <c r="A15" s="20" t="n">
        <v>14</v>
      </c>
      <c r="B15" s="20"/>
      <c r="C15" s="9" t="s">
        <v>126</v>
      </c>
      <c r="D15" s="9" t="s">
        <v>78</v>
      </c>
      <c r="E15" s="9" t="s">
        <v>24</v>
      </c>
      <c r="F15" s="8" t="s">
        <v>185</v>
      </c>
      <c r="G15" s="9" t="s">
        <v>186</v>
      </c>
      <c r="H15" s="9" t="s">
        <v>187</v>
      </c>
      <c r="I15" s="9" t="s">
        <v>130</v>
      </c>
      <c r="J15" s="20"/>
      <c r="K15" s="20" t="n">
        <f aca="false">IF(COUNTIF($B$2:$B$150,A15)&gt;0,SUMIFS($J$2:$J$150,$B$2:$B$150,A15)+N(J15),J15)</f>
        <v>10</v>
      </c>
      <c r="L15" s="20" t="s">
        <v>131</v>
      </c>
      <c r="M15" s="20" t="s">
        <v>132</v>
      </c>
      <c r="N15" s="21" t="s">
        <v>133</v>
      </c>
      <c r="O15" s="9" t="s">
        <v>162</v>
      </c>
      <c r="P15" s="9" t="s">
        <v>55</v>
      </c>
      <c r="Q15" s="9" t="s">
        <v>188</v>
      </c>
      <c r="R15" s="9"/>
      <c r="S15" s="23" t="str">
        <f aca="false">G15&amp;IF(H15="","",CHAR(10)&amp;CHAR(10)&amp;"Criterios de aceptación:"&amp;CHAR(10)&amp;H15)</f>
        <v>Modelo físico y migración Flyway de las tablas base (rol, usuario, competencia), a partir del modelo conceptual del capítulo 4, más sus entidades JPA y los datos semilla necesarios para desarrollar.
Criterios de aceptación:
• Al arrancar en limpio, Flyway crea las tablas y la app arranca con ddl-auto: validate sin errores.
• Existen los 3 roles, las 3 competencias y un usuario de prueba por rol.
• La prueba de integración del esquema pasa en CI.</v>
      </c>
    </row>
    <row r="16" customFormat="false" ht="95.25" hidden="false" customHeight="true" outlineLevel="0" collapsed="false">
      <c r="A16" s="26" t="n">
        <v>15</v>
      </c>
      <c r="B16" s="26" t="n">
        <v>14</v>
      </c>
      <c r="C16" s="27" t="s">
        <v>147</v>
      </c>
      <c r="D16" s="27" t="s">
        <v>78</v>
      </c>
      <c r="E16" s="27" t="s">
        <v>24</v>
      </c>
      <c r="F16" s="28" t="s">
        <v>189</v>
      </c>
      <c r="G16" s="27" t="s">
        <v>190</v>
      </c>
      <c r="H16" s="27" t="s">
        <v>191</v>
      </c>
      <c r="I16" s="27"/>
      <c r="J16" s="26" t="n">
        <v>2</v>
      </c>
      <c r="K16" s="26"/>
      <c r="L16" s="26" t="s">
        <v>166</v>
      </c>
      <c r="M16" s="26" t="s">
        <v>166</v>
      </c>
      <c r="N16" s="21" t="s">
        <v>133</v>
      </c>
      <c r="O16" s="27" t="s">
        <v>162</v>
      </c>
      <c r="P16" s="27" t="s">
        <v>55</v>
      </c>
      <c r="Q16" s="27" t="s">
        <v>192</v>
      </c>
      <c r="R16" s="27"/>
      <c r="S16" s="29" t="str">
        <f aca="false">G16&amp;IF(H16="","",CHAR(10)&amp;CHAR(10)&amp;"Criterios de aceptación:"&amp;CHAR(10)&amp;H16)</f>
        <v>Documentar en la tarjeta: rol(id, nombre UNIQUE: ESTUDIANTE, DOCENTE, ADMIN); usuario(id, nombres, apellidos, correo UNIQUE, password_hash, rol_id FK, programa_academico NULL, estado ACTIVO/INACTIVO, creado_en, actualizado_en); competencia(id, codigo UNIQUE: ALGEBRAICA, LOGICA, FUNCIONAL, nombre, descripcion). Tipos: BIGINT GENERATED ALWAYS AS IDENTITY, VARCHAR con longitudes, TIMESTAMPTZ. Convención: tablas y columnas en snake_case singular.
Criterios de aceptación:
• El modelo está en la tarjeta y lo revisó Jorel antes de escribir la migración.</v>
      </c>
    </row>
    <row r="17" customFormat="false" ht="57" hidden="false" customHeight="true" outlineLevel="0" collapsed="false">
      <c r="A17" s="26" t="n">
        <v>16</v>
      </c>
      <c r="B17" s="26" t="n">
        <v>14</v>
      </c>
      <c r="C17" s="27" t="s">
        <v>147</v>
      </c>
      <c r="D17" s="27" t="s">
        <v>78</v>
      </c>
      <c r="E17" s="27" t="s">
        <v>24</v>
      </c>
      <c r="F17" s="28" t="s">
        <v>193</v>
      </c>
      <c r="G17" s="27" t="s">
        <v>194</v>
      </c>
      <c r="H17" s="27" t="s">
        <v>195</v>
      </c>
      <c r="I17" s="27"/>
      <c r="J17" s="26" t="n">
        <v>3</v>
      </c>
      <c r="K17" s="26"/>
      <c r="L17" s="26" t="s">
        <v>166</v>
      </c>
      <c r="M17" s="26" t="s">
        <v>167</v>
      </c>
      <c r="N17" s="21" t="s">
        <v>133</v>
      </c>
      <c r="O17" s="27" t="s">
        <v>162</v>
      </c>
      <c r="P17" s="27" t="s">
        <v>55</v>
      </c>
      <c r="Q17" s="27" t="s">
        <v>192</v>
      </c>
      <c r="R17" s="27"/>
      <c r="S17" s="29" t="str">
        <f aca="false">G17&amp;IF(H17="","",CHAR(10)&amp;CHAR(10)&amp;"Criterios de aceptación:"&amp;CHAR(10)&amp;H17)</f>
        <v>db/migration/V&lt;yyyyMMddHHmm&gt;__esquema_inicial.sql con CREATE TABLE, PK, FK usuario.rol_id → rol.id, UNIQUE en correo y códigos, CHECK en estado, índice en usuario.correo.
Criterios de aceptación:
• La migración corre en una base vacía sin errores.
• Insertar dos usuarios con el mismo correo falla.</v>
      </c>
    </row>
    <row r="18" customFormat="false" ht="46.5" hidden="false" customHeight="true" outlineLevel="0" collapsed="false">
      <c r="A18" s="26" t="n">
        <v>17</v>
      </c>
      <c r="B18" s="26" t="n">
        <v>14</v>
      </c>
      <c r="C18" s="27" t="s">
        <v>147</v>
      </c>
      <c r="D18" s="27" t="s">
        <v>78</v>
      </c>
      <c r="E18" s="27" t="s">
        <v>24</v>
      </c>
      <c r="F18" s="28" t="s">
        <v>196</v>
      </c>
      <c r="G18" s="27" t="s">
        <v>197</v>
      </c>
      <c r="H18" s="27" t="s">
        <v>198</v>
      </c>
      <c r="I18" s="27"/>
      <c r="J18" s="26" t="n">
        <v>2</v>
      </c>
      <c r="K18" s="26"/>
      <c r="L18" s="26" t="s">
        <v>167</v>
      </c>
      <c r="M18" s="26" t="s">
        <v>167</v>
      </c>
      <c r="N18" s="21" t="s">
        <v>133</v>
      </c>
      <c r="O18" s="27" t="s">
        <v>162</v>
      </c>
      <c r="P18" s="27" t="s">
        <v>55</v>
      </c>
      <c r="Q18" s="27" t="s">
        <v>146</v>
      </c>
      <c r="R18" s="27"/>
      <c r="S18" s="29" t="str">
        <f aca="false">G18&amp;IF(H18="","",CHAR(10)&amp;CHAR(10)&amp;"Criterios de aceptación:"&amp;CHAR(10)&amp;H18)</f>
        <v>Rol, Usuario (@ManyToOne a Rol), Competencia en sus módulos; RolRepository, UsuarioRepository (findByCorreo, existsByCorreo), CompetenciaRepository (findByCodigo). Enum EstadoUsuario.
Criterios de aceptación:
• La app arranca con ddl-auto: validate (el mapeo coincide con la migración).</v>
      </c>
    </row>
    <row r="19" customFormat="false" ht="87" hidden="false" customHeight="true" outlineLevel="0" collapsed="false">
      <c r="A19" s="26" t="n">
        <v>18</v>
      </c>
      <c r="B19" s="26" t="n">
        <v>14</v>
      </c>
      <c r="C19" s="27" t="s">
        <v>147</v>
      </c>
      <c r="D19" s="27" t="s">
        <v>78</v>
      </c>
      <c r="E19" s="27" t="s">
        <v>24</v>
      </c>
      <c r="F19" s="28" t="s">
        <v>199</v>
      </c>
      <c r="G19" s="27" t="s">
        <v>200</v>
      </c>
      <c r="H19" s="27" t="s">
        <v>201</v>
      </c>
      <c r="I19" s="27"/>
      <c r="J19" s="26" t="n">
        <v>2</v>
      </c>
      <c r="K19" s="26"/>
      <c r="L19" s="26" t="s">
        <v>167</v>
      </c>
      <c r="M19" s="26" t="s">
        <v>167</v>
      </c>
      <c r="N19" s="21" t="s">
        <v>133</v>
      </c>
      <c r="O19" s="27" t="s">
        <v>162</v>
      </c>
      <c r="P19" s="27" t="s">
        <v>55</v>
      </c>
      <c r="Q19" s="27" t="s">
        <v>192</v>
      </c>
      <c r="R19" s="27"/>
      <c r="S19" s="29" t="str">
        <f aca="false">G19&amp;IF(H19="","",CHAR(10)&amp;CHAR(10)&amp;"Criterios de aceptación:"&amp;CHAR(10)&amp;H19)</f>
        <v>Migración de datos con los 3 roles y 3 competencias (se requieren en todos los entornos). Usuarios de prueba (estudiante, docente, admin) con contraseña en BCrypt en una ubicación solo para dev/staging (ej. db/dev-data, agregada a spring.flyway.locations en application-dev.yml). Completar la tabla de usuarios de prueba del README.
Criterios de aceptación:
• Con perfil dev se puede iniciar sesión con los 3 usuarios de prueba.
• Con perfil test/producción no existen usuarios de prueba.</v>
      </c>
    </row>
    <row r="20" customFormat="false" ht="34.5" hidden="false" customHeight="true" outlineLevel="0" collapsed="false">
      <c r="A20" s="26" t="n">
        <v>19</v>
      </c>
      <c r="B20" s="26" t="n">
        <v>14</v>
      </c>
      <c r="C20" s="27" t="s">
        <v>147</v>
      </c>
      <c r="D20" s="27" t="s">
        <v>78</v>
      </c>
      <c r="E20" s="27" t="s">
        <v>24</v>
      </c>
      <c r="F20" s="28" t="s">
        <v>202</v>
      </c>
      <c r="G20" s="27" t="s">
        <v>203</v>
      </c>
      <c r="H20" s="27" t="s">
        <v>204</v>
      </c>
      <c r="I20" s="27"/>
      <c r="J20" s="26" t="n">
        <v>1</v>
      </c>
      <c r="K20" s="26"/>
      <c r="L20" s="26" t="s">
        <v>160</v>
      </c>
      <c r="M20" s="26" t="s">
        <v>161</v>
      </c>
      <c r="N20" s="21" t="s">
        <v>133</v>
      </c>
      <c r="O20" s="27" t="s">
        <v>162</v>
      </c>
      <c r="P20" s="27" t="s">
        <v>55</v>
      </c>
      <c r="Q20" s="27" t="s">
        <v>205</v>
      </c>
      <c r="R20" s="27"/>
      <c r="S20" s="29" t="str">
        <f aca="false">G20&amp;IF(H20="","",CHAR(10)&amp;CHAR(10)&amp;"Criterios de aceptación:"&amp;CHAR(10)&amp;H20)</f>
        <v>Prueba con Testcontainers que arranca PostgreSQL, aplica las migraciones y verifica guardar/leer un usuario con su rol.
Criterios de aceptación:
• ./mvnw test pasa localmente y en CI.</v>
      </c>
    </row>
    <row r="21" customFormat="false" ht="144.75" hidden="false" customHeight="true" outlineLevel="0" collapsed="false">
      <c r="A21" s="20" t="n">
        <v>20</v>
      </c>
      <c r="B21" s="20"/>
      <c r="C21" s="9" t="s">
        <v>206</v>
      </c>
      <c r="D21" s="9" t="s">
        <v>78</v>
      </c>
      <c r="E21" s="9" t="s">
        <v>24</v>
      </c>
      <c r="F21" s="8" t="s">
        <v>207</v>
      </c>
      <c r="G21" s="9" t="s">
        <v>208</v>
      </c>
      <c r="H21" s="9" t="s">
        <v>209</v>
      </c>
      <c r="I21" s="9" t="s">
        <v>210</v>
      </c>
      <c r="J21" s="20"/>
      <c r="K21" s="20" t="n">
        <f aca="false">IF(COUNTIF($B$2:$B$150,A21)&gt;0,SUMIFS($J$2:$J$150,$B$2:$B$150,A21)+N(J21),J21)</f>
        <v>13</v>
      </c>
      <c r="L21" s="20" t="s">
        <v>131</v>
      </c>
      <c r="M21" s="20" t="s">
        <v>132</v>
      </c>
      <c r="N21" s="21" t="s">
        <v>133</v>
      </c>
      <c r="O21" s="9" t="s">
        <v>162</v>
      </c>
      <c r="P21" s="9" t="s">
        <v>53</v>
      </c>
      <c r="Q21" s="9" t="s">
        <v>211</v>
      </c>
      <c r="R21" s="9"/>
      <c r="S21" s="23" t="str">
        <f aca="false">G21&amp;IF(H21="","",CHAR(10)&amp;CHAR(10)&amp;"Criterios de aceptación:"&amp;CHAR(10)&amp;H21)</f>
        <v>Como usuario quiero iniciar sesión con mi correo y contraseña para acceder a las funciones de mi rol. Autenticación stateless con JWT firmado (HS256) emitido por el backend con Spring Security + OAuth2 Resource Server (Nimbus). Registro público solo para estudiantes; docentes y administradores los crea el administrador (confirmar con el equipo).
Criterios de aceptación:
• POST /api/auth/login con credenciales válidas devuelve 200 con token, expiración y datos del usuario (id, nombre, rol).
• Credenciales inválidas o usuario INACTIVO devuelven 401 con mensaje genérico (no revela si el correo existe).
• Las contraseñas se guardan con BCrypt; nunca viajan de vuelta en ninguna respuesta.
• Desde el frontend, el login redirige al inicio del rol correspondiente.</v>
      </c>
    </row>
    <row r="22" customFormat="false" ht="75" hidden="false" customHeight="true" outlineLevel="0" collapsed="false">
      <c r="A22" s="26" t="n">
        <v>21</v>
      </c>
      <c r="B22" s="26" t="n">
        <v>20</v>
      </c>
      <c r="C22" s="27" t="s">
        <v>147</v>
      </c>
      <c r="D22" s="27" t="s">
        <v>78</v>
      </c>
      <c r="E22" s="27" t="s">
        <v>24</v>
      </c>
      <c r="F22" s="28" t="s">
        <v>212</v>
      </c>
      <c r="G22" s="27" t="s">
        <v>213</v>
      </c>
      <c r="H22" s="27" t="s">
        <v>214</v>
      </c>
      <c r="I22" s="27"/>
      <c r="J22" s="26" t="n">
        <v>1</v>
      </c>
      <c r="K22" s="26"/>
      <c r="L22" s="26" t="s">
        <v>166</v>
      </c>
      <c r="M22" s="26" t="s">
        <v>166</v>
      </c>
      <c r="N22" s="21" t="s">
        <v>133</v>
      </c>
      <c r="O22" s="27" t="s">
        <v>162</v>
      </c>
      <c r="P22" s="27" t="s">
        <v>53</v>
      </c>
      <c r="Q22" s="27" t="s">
        <v>146</v>
      </c>
      <c r="R22" s="27"/>
      <c r="S22" s="29" t="str">
        <f aca="false">G22&amp;IF(H22="","",CHAR(10)&amp;CHAR(10)&amp;"Criterios de aceptación:"&amp;CHAR(10)&amp;H22)</f>
        <v>Primera cosa del día para desbloquear a Fernando. POST /api/auth/login  body {"correo","password"} → 200 {"token","tipo":"Bearer","expiraEn","usuario":{"id","nombres","rol"}}; 401 {formato estándar}. POST /api/auth/registro (estudiante) → 201. GET /api/auth/me (token) → 200 usuario. Claims del token: sub (id), correo, rol, iat, exp.
Criterios de aceptación:
• Fernando confirma que puede simular las respuestas con ese contrato.</v>
      </c>
    </row>
    <row r="23" customFormat="false" ht="39.75" hidden="false" customHeight="true" outlineLevel="0" collapsed="false">
      <c r="A23" s="26" t="n">
        <v>22</v>
      </c>
      <c r="B23" s="26" t="n">
        <v>20</v>
      </c>
      <c r="C23" s="27" t="s">
        <v>147</v>
      </c>
      <c r="D23" s="27" t="s">
        <v>78</v>
      </c>
      <c r="E23" s="27" t="s">
        <v>24</v>
      </c>
      <c r="F23" s="28" t="s">
        <v>215</v>
      </c>
      <c r="G23" s="27" t="s">
        <v>216</v>
      </c>
      <c r="H23" s="27" t="s">
        <v>217</v>
      </c>
      <c r="I23" s="27"/>
      <c r="J23" s="26" t="n">
        <v>2</v>
      </c>
      <c r="K23" s="26"/>
      <c r="L23" s="26" t="s">
        <v>166</v>
      </c>
      <c r="M23" s="26" t="s">
        <v>166</v>
      </c>
      <c r="N23" s="21" t="s">
        <v>133</v>
      </c>
      <c r="O23" s="27" t="s">
        <v>162</v>
      </c>
      <c r="P23" s="27" t="s">
        <v>53</v>
      </c>
      <c r="Q23" s="27" t="s">
        <v>218</v>
      </c>
      <c r="R23" s="27"/>
      <c r="S23" s="29" t="str">
        <f aca="false">G23&amp;IF(H23="","",CHAR(10)&amp;CHAR(10)&amp;"Criterios de aceptación:"&amp;CHAR(10)&amp;H23)</f>
        <v>Bean BCryptPasswordEncoder; UserDetailsService que busca por correo y rechaza usuarios INACTIVOS; AuthenticationManager (DaoAuthenticationProvider).
Criterios de aceptación:
• Una contraseña correcta autentica y una incorrecta lanza BadCredentials.</v>
      </c>
    </row>
    <row r="24" customFormat="false" ht="54.75" hidden="false" customHeight="true" outlineLevel="0" collapsed="false">
      <c r="A24" s="26" t="n">
        <v>23</v>
      </c>
      <c r="B24" s="26" t="n">
        <v>20</v>
      </c>
      <c r="C24" s="27" t="s">
        <v>147</v>
      </c>
      <c r="D24" s="27" t="s">
        <v>78</v>
      </c>
      <c r="E24" s="27" t="s">
        <v>24</v>
      </c>
      <c r="F24" s="28" t="s">
        <v>219</v>
      </c>
      <c r="G24" s="27" t="s">
        <v>220</v>
      </c>
      <c r="H24" s="27" t="s">
        <v>221</v>
      </c>
      <c r="I24" s="27"/>
      <c r="J24" s="26" t="n">
        <v>2</v>
      </c>
      <c r="K24" s="26"/>
      <c r="L24" s="26" t="s">
        <v>166</v>
      </c>
      <c r="M24" s="26" t="s">
        <v>167</v>
      </c>
      <c r="N24" s="21" t="s">
        <v>133</v>
      </c>
      <c r="O24" s="27" t="s">
        <v>162</v>
      </c>
      <c r="P24" s="27" t="s">
        <v>53</v>
      </c>
      <c r="Q24" s="27" t="s">
        <v>218</v>
      </c>
      <c r="R24" s="27"/>
      <c r="S24" s="29" t="str">
        <f aca="false">G24&amp;IF(H24="","",CHAR(10)&amp;CHAR(10)&amp;"Criterios de aceptación:"&amp;CHAR(10)&amp;H24)</f>
        <v>JwtEncoder/JwtDecoder de Nimbus con clave simétrica desde app.jwt.secret (mínimo 32 caracteres), expiración desde app.jwt.expiration-minutes, claims sub, correo, rol. Configurar oauth2ResourceServer().jwt() en SecurityConfig.
Criterios de aceptación:
• Un token emitido es aceptado; uno alterado o vencido responde 401.</v>
      </c>
    </row>
    <row r="25" customFormat="false" ht="45.75" hidden="false" customHeight="true" outlineLevel="0" collapsed="false">
      <c r="A25" s="26" t="n">
        <v>24</v>
      </c>
      <c r="B25" s="26" t="n">
        <v>20</v>
      </c>
      <c r="C25" s="27" t="s">
        <v>147</v>
      </c>
      <c r="D25" s="27" t="s">
        <v>78</v>
      </c>
      <c r="E25" s="27" t="s">
        <v>24</v>
      </c>
      <c r="F25" s="28" t="s">
        <v>222</v>
      </c>
      <c r="G25" s="27" t="s">
        <v>223</v>
      </c>
      <c r="H25" s="27" t="s">
        <v>224</v>
      </c>
      <c r="I25" s="27"/>
      <c r="J25" s="26" t="n">
        <v>2</v>
      </c>
      <c r="K25" s="26"/>
      <c r="L25" s="26" t="s">
        <v>167</v>
      </c>
      <c r="M25" s="26" t="s">
        <v>167</v>
      </c>
      <c r="N25" s="21" t="s">
        <v>133</v>
      </c>
      <c r="O25" s="27" t="s">
        <v>162</v>
      </c>
      <c r="P25" s="27" t="s">
        <v>53</v>
      </c>
      <c r="Q25" s="27" t="s">
        <v>146</v>
      </c>
      <c r="R25" s="27"/>
      <c r="S25" s="29" t="str">
        <f aca="false">G25&amp;IF(H25="","",CHAR(10)&amp;CHAR(10)&amp;"Criterios de aceptación:"&amp;CHAR(10)&amp;H25)</f>
        <v>AuthController + AuthService con DTO validados (LoginRequest, RegistroRequest, AuthResponse, UsuarioResponse). Registro asigna rol ESTUDIANTE y valida correo único (409 si existe).
Criterios de aceptación:
• Los tres endpoints cumplen el contrato publicado y aparecen en Swagger.</v>
      </c>
    </row>
    <row r="26" customFormat="false" ht="39.75" hidden="false" customHeight="true" outlineLevel="0" collapsed="false">
      <c r="A26" s="26" t="n">
        <v>25</v>
      </c>
      <c r="B26" s="26" t="n">
        <v>20</v>
      </c>
      <c r="C26" s="27" t="s">
        <v>147</v>
      </c>
      <c r="D26" s="27" t="s">
        <v>78</v>
      </c>
      <c r="E26" s="27" t="s">
        <v>24</v>
      </c>
      <c r="F26" s="28" t="s">
        <v>225</v>
      </c>
      <c r="G26" s="27" t="s">
        <v>226</v>
      </c>
      <c r="H26" s="27" t="s">
        <v>227</v>
      </c>
      <c r="I26" s="27"/>
      <c r="J26" s="26" t="n">
        <v>1</v>
      </c>
      <c r="K26" s="26"/>
      <c r="L26" s="26" t="s">
        <v>160</v>
      </c>
      <c r="M26" s="26" t="s">
        <v>161</v>
      </c>
      <c r="N26" s="21" t="s">
        <v>133</v>
      </c>
      <c r="O26" s="27" t="s">
        <v>162</v>
      </c>
      <c r="P26" s="27" t="s">
        <v>53</v>
      </c>
      <c r="Q26" s="27" t="s">
        <v>205</v>
      </c>
      <c r="R26" s="27"/>
      <c r="S26" s="29" t="str">
        <f aca="false">G26&amp;IF(H26="","",CHAR(10)&amp;CHAR(10)&amp;"Criterios de aceptación:"&amp;CHAR(10)&amp;H26)</f>
        <v>Pruebas de servicio y de controlador (MockMvc): login correcto, contraseña errada, usuario inactivo, registro con correo repetido, /me sin token.
Criterios de aceptación:
• Las 5 pruebas pasan en CI.</v>
      </c>
    </row>
    <row r="27" customFormat="false" ht="55.5" hidden="false" customHeight="true" outlineLevel="0" collapsed="false">
      <c r="A27" s="26" t="n">
        <v>26</v>
      </c>
      <c r="B27" s="26" t="n">
        <v>20</v>
      </c>
      <c r="C27" s="27" t="s">
        <v>147</v>
      </c>
      <c r="D27" s="27" t="s">
        <v>78</v>
      </c>
      <c r="E27" s="27" t="s">
        <v>24</v>
      </c>
      <c r="F27" s="28" t="s">
        <v>228</v>
      </c>
      <c r="G27" s="27" t="s">
        <v>229</v>
      </c>
      <c r="H27" s="27" t="s">
        <v>230</v>
      </c>
      <c r="I27" s="27"/>
      <c r="J27" s="26" t="n">
        <v>1</v>
      </c>
      <c r="K27" s="26"/>
      <c r="L27" s="26" t="s">
        <v>166</v>
      </c>
      <c r="M27" s="26" t="s">
        <v>166</v>
      </c>
      <c r="N27" s="21" t="s">
        <v>133</v>
      </c>
      <c r="O27" s="27" t="s">
        <v>162</v>
      </c>
      <c r="P27" s="27" t="s">
        <v>59</v>
      </c>
      <c r="Q27" s="27" t="s">
        <v>171</v>
      </c>
      <c r="R27" s="30" t="s">
        <v>141</v>
      </c>
      <c r="S27" s="29" t="str">
        <f aca="false">G27&amp;IF(H27="","",CHAR(10)&amp;CHAR(10)&amp;"Criterios de aceptación:"&amp;CHAR(10)&amp;H27)</f>
        <v>api/authApi.js con login(), registro() y me(). Mientras el endpoint no esté en develop, responde con datos simulados (usuarios de prueba por rol y un token falso con la misma forma del contrato) activados con VITE_USE_MOCKS=true.
Criterios de aceptación:
• Cambiar VITE_USE_MOCKS a false usa el backend real sin tocar componentes.</v>
      </c>
    </row>
    <row r="28" customFormat="false" ht="126" hidden="false" customHeight="true" outlineLevel="0" collapsed="false">
      <c r="A28" s="26" t="n">
        <v>27</v>
      </c>
      <c r="B28" s="26" t="n">
        <v>20</v>
      </c>
      <c r="C28" s="27" t="s">
        <v>147</v>
      </c>
      <c r="D28" s="27" t="s">
        <v>78</v>
      </c>
      <c r="E28" s="27" t="s">
        <v>24</v>
      </c>
      <c r="F28" s="28" t="s">
        <v>231</v>
      </c>
      <c r="G28" s="27" t="s">
        <v>232</v>
      </c>
      <c r="H28" s="27" t="s">
        <v>233</v>
      </c>
      <c r="I28" s="27"/>
      <c r="J28" s="26" t="n">
        <v>4</v>
      </c>
      <c r="K28" s="26"/>
      <c r="L28" s="26" t="s">
        <v>166</v>
      </c>
      <c r="M28" s="26" t="s">
        <v>167</v>
      </c>
      <c r="N28" s="21" t="s">
        <v>133</v>
      </c>
      <c r="O28" s="27" t="s">
        <v>162</v>
      </c>
      <c r="P28" s="27" t="s">
        <v>59</v>
      </c>
      <c r="Q28" s="27" t="s">
        <v>171</v>
      </c>
      <c r="R28" s="30" t="s">
        <v>141</v>
      </c>
      <c r="S28" s="29" t="str">
        <f aca="false">G28&amp;IF(H28="","",CHAR(10)&amp;CHAR(10)&amp;"Criterios de aceptación:"&amp;CHAR(10)&amp;H28)</f>
        <v>features/auth/LoginPage.jsx según el prototipo: correo y contraseña con react-hook-form + zod (correo válido, contraseña requerida), botón con estado de carga, mensaje de error del servidor, mostrar/ocultar contraseña. Accesible: labels visibles, errores asociados con aria-describedby, foco al primer error, envío con Enter. Al iniciar sesión redirige a /estudiante, /docente o /admin según el rol.
Criterios de aceptación:
• Con credenciales de prueba entra al inicio del rol correcto.
• Con credenciales inválidas muestra el error sin recargar la página.
• Se puede completar solo con teclado.
• Se ve bien en 375 px de ancho.</v>
      </c>
    </row>
    <row r="29" customFormat="false" ht="92.25" hidden="false" customHeight="true" outlineLevel="0" collapsed="false">
      <c r="A29" s="20" t="n">
        <v>28</v>
      </c>
      <c r="B29" s="20"/>
      <c r="C29" s="9" t="s">
        <v>206</v>
      </c>
      <c r="D29" s="9" t="s">
        <v>78</v>
      </c>
      <c r="E29" s="9" t="s">
        <v>24</v>
      </c>
      <c r="F29" s="8" t="s">
        <v>234</v>
      </c>
      <c r="G29" s="9" t="s">
        <v>235</v>
      </c>
      <c r="H29" s="9" t="s">
        <v>236</v>
      </c>
      <c r="I29" s="9" t="s">
        <v>81</v>
      </c>
      <c r="J29" s="20"/>
      <c r="K29" s="20" t="n">
        <f aca="false">IF(COUNTIF($B$2:$B$150,A29)&gt;0,SUMIFS($J$2:$J$150,$B$2:$B$150,A29)+N(J29),J29)</f>
        <v>8</v>
      </c>
      <c r="L29" s="20" t="s">
        <v>131</v>
      </c>
      <c r="M29" s="20" t="s">
        <v>132</v>
      </c>
      <c r="N29" s="21" t="s">
        <v>133</v>
      </c>
      <c r="O29" s="9" t="s">
        <v>162</v>
      </c>
      <c r="P29" s="9" t="s">
        <v>53</v>
      </c>
      <c r="Q29" s="9" t="s">
        <v>211</v>
      </c>
      <c r="R29" s="9"/>
      <c r="S29" s="23" t="str">
        <f aca="false">G29&amp;IF(H29="","",CHAR(10)&amp;CHAR(10)&amp;"Criterios de aceptación:"&amp;CHAR(10)&amp;H29)</f>
        <v>Como plataforma debo restringir endpoints (backend) y vistas (frontend) según el rol ESTUDIANTE, DOCENTE o ADMIN. El backend es la barrera real; el frontend solo evita navegar a lo que no corresponde.
Criterios de aceptación:
• Un token de ESTUDIANTE que llama un endpoint de DOCENTE recibe 403 con el formato estándar.
• Una petición sin token recibe 401.
• En el frontend, cada rol solo puede navegar a sus rutas y al vencer el token vuelve al login.</v>
      </c>
    </row>
    <row r="30" customFormat="false" ht="54" hidden="false" customHeight="true" outlineLevel="0" collapsed="false">
      <c r="A30" s="26" t="n">
        <v>29</v>
      </c>
      <c r="B30" s="26" t="n">
        <v>28</v>
      </c>
      <c r="C30" s="27" t="s">
        <v>147</v>
      </c>
      <c r="D30" s="27" t="s">
        <v>78</v>
      </c>
      <c r="E30" s="27" t="s">
        <v>24</v>
      </c>
      <c r="F30" s="28" t="s">
        <v>237</v>
      </c>
      <c r="G30" s="27" t="s">
        <v>238</v>
      </c>
      <c r="H30" s="27" t="s">
        <v>239</v>
      </c>
      <c r="I30" s="27"/>
      <c r="J30" s="26" t="n">
        <v>3</v>
      </c>
      <c r="K30" s="26"/>
      <c r="L30" s="26" t="s">
        <v>160</v>
      </c>
      <c r="M30" s="26" t="s">
        <v>161</v>
      </c>
      <c r="N30" s="21" t="s">
        <v>133</v>
      </c>
      <c r="O30" s="27" t="s">
        <v>162</v>
      </c>
      <c r="P30" s="27" t="s">
        <v>53</v>
      </c>
      <c r="Q30" s="27" t="s">
        <v>218</v>
      </c>
      <c r="R30" s="27"/>
      <c r="S30" s="29" t="str">
        <f aca="false">G30&amp;IF(H30="","",CHAR(10)&amp;CHAR(10)&amp;"Criterios de aceptación:"&amp;CHAR(10)&amp;H30)</f>
        <v>JwtAuthenticationConverter que convierte el claim "rol" en ROLE_&lt;rol&gt;; @EnableMethodSecurity y @PreAuthorize en controladores; AuthenticationEntryPoint (401) y AccessDeniedHandler (403) que responden con el formato estándar.
Criterios de aceptación:
• Endpoint de prueba /api/ping/{rol} responde 200 al rol correcto y 403 a los demás.</v>
      </c>
    </row>
    <row r="31" customFormat="false" ht="57.75" hidden="false" customHeight="true" outlineLevel="0" collapsed="false">
      <c r="A31" s="26" t="n">
        <v>30</v>
      </c>
      <c r="B31" s="26" t="n">
        <v>28</v>
      </c>
      <c r="C31" s="27" t="s">
        <v>147</v>
      </c>
      <c r="D31" s="27" t="s">
        <v>78</v>
      </c>
      <c r="E31" s="27" t="s">
        <v>24</v>
      </c>
      <c r="F31" s="28" t="s">
        <v>240</v>
      </c>
      <c r="G31" s="27" t="s">
        <v>241</v>
      </c>
      <c r="H31" s="27" t="s">
        <v>242</v>
      </c>
      <c r="I31" s="27"/>
      <c r="J31" s="26" t="n">
        <v>2</v>
      </c>
      <c r="K31" s="26"/>
      <c r="L31" s="26" t="s">
        <v>166</v>
      </c>
      <c r="M31" s="26" t="s">
        <v>167</v>
      </c>
      <c r="N31" s="21" t="s">
        <v>133</v>
      </c>
      <c r="O31" s="27" t="s">
        <v>162</v>
      </c>
      <c r="P31" s="27" t="s">
        <v>59</v>
      </c>
      <c r="Q31" s="27" t="s">
        <v>171</v>
      </c>
      <c r="R31" s="27"/>
      <c r="S31" s="29" t="str">
        <f aca="false">G31&amp;IF(H31="","",CHAR(10)&amp;CHAR(10)&amp;"Criterios de aceptación:"&amp;CHAR(10)&amp;H31)</f>
        <v>context/AuthContext.jsx con user, rol, login(), logout(), isAuthenticated. Lee el token con jwt-decode al cargar la app, descarta tokens vencidos y lo guarda en localStorage.
Criterios de aceptación:
• Al recargar la página la sesión se mantiene si el token sigue vigente.
• logout limpia el token y lleva a /login.</v>
      </c>
    </row>
    <row r="32" customFormat="false" ht="63.75" hidden="false" customHeight="true" outlineLevel="0" collapsed="false">
      <c r="A32" s="26" t="n">
        <v>31</v>
      </c>
      <c r="B32" s="26" t="n">
        <v>28</v>
      </c>
      <c r="C32" s="27" t="s">
        <v>147</v>
      </c>
      <c r="D32" s="27" t="s">
        <v>78</v>
      </c>
      <c r="E32" s="27" t="s">
        <v>24</v>
      </c>
      <c r="F32" s="28" t="s">
        <v>243</v>
      </c>
      <c r="G32" s="27" t="s">
        <v>244</v>
      </c>
      <c r="H32" s="27" t="s">
        <v>245</v>
      </c>
      <c r="I32" s="27"/>
      <c r="J32" s="26" t="n">
        <v>2</v>
      </c>
      <c r="K32" s="26"/>
      <c r="L32" s="26" t="s">
        <v>167</v>
      </c>
      <c r="M32" s="26" t="s">
        <v>167</v>
      </c>
      <c r="N32" s="21" t="s">
        <v>133</v>
      </c>
      <c r="O32" s="27" t="s">
        <v>162</v>
      </c>
      <c r="P32" s="27" t="s">
        <v>59</v>
      </c>
      <c r="Q32" s="27" t="s">
        <v>171</v>
      </c>
      <c r="R32" s="27"/>
      <c r="S32" s="29" t="str">
        <f aca="false">G32&amp;IF(H32="","",CHAR(10)&amp;CHAR(10)&amp;"Criterios de aceptación:"&amp;CHAR(10)&amp;H32)</f>
        <v>Conectar ProtectedRoute con AuthContext (sin sesión → /login guardando la ruta de origen; rol distinto → /no-autorizado). Interceptor de respuesta en api/client.js: ante 401 hace logout y redirige al login.
Criterios de aceptación:
• Tras iniciar sesión, vuelve a la ruta que el usuario intentaba abrir.
• Un 401 del backend cierra la sesión automáticamente.</v>
      </c>
    </row>
    <row r="33" customFormat="false" ht="33" hidden="false" customHeight="true" outlineLevel="0" collapsed="false">
      <c r="A33" s="26" t="n">
        <v>32</v>
      </c>
      <c r="B33" s="26" t="n">
        <v>28</v>
      </c>
      <c r="C33" s="27" t="s">
        <v>147</v>
      </c>
      <c r="D33" s="27" t="s">
        <v>78</v>
      </c>
      <c r="E33" s="27" t="s">
        <v>24</v>
      </c>
      <c r="F33" s="28" t="s">
        <v>246</v>
      </c>
      <c r="G33" s="27" t="s">
        <v>247</v>
      </c>
      <c r="H33" s="27" t="s">
        <v>248</v>
      </c>
      <c r="I33" s="27"/>
      <c r="J33" s="26" t="n">
        <v>1</v>
      </c>
      <c r="K33" s="26"/>
      <c r="L33" s="26" t="s">
        <v>160</v>
      </c>
      <c r="M33" s="26" t="s">
        <v>161</v>
      </c>
      <c r="N33" s="21" t="s">
        <v>133</v>
      </c>
      <c r="O33" s="27" t="s">
        <v>162</v>
      </c>
      <c r="P33" s="27" t="s">
        <v>53</v>
      </c>
      <c r="Q33" s="27" t="s">
        <v>205</v>
      </c>
      <c r="R33" s="27"/>
      <c r="S33" s="29" t="str">
        <f aca="false">G33&amp;IF(H33="","",CHAR(10)&amp;CHAR(10)&amp;"Criterios de aceptación:"&amp;CHAR(10)&amp;H33)</f>
        <v>Pruebas MockMvc de 401 y 403 sobre endpoints de cada rol, reutilizables en la tarea de hardening del Sprint 4.
Criterios de aceptación:
• Pasan en CI.</v>
      </c>
    </row>
    <row r="34" customFormat="false" ht="86.25" hidden="false" customHeight="true" outlineLevel="0" collapsed="false">
      <c r="A34" s="20" t="n">
        <v>33</v>
      </c>
      <c r="B34" s="20"/>
      <c r="C34" s="9" t="s">
        <v>126</v>
      </c>
      <c r="D34" s="9" t="s">
        <v>78</v>
      </c>
      <c r="E34" s="9" t="s">
        <v>24</v>
      </c>
      <c r="F34" s="8" t="s">
        <v>249</v>
      </c>
      <c r="G34" s="9" t="s">
        <v>250</v>
      </c>
      <c r="H34" s="9" t="s">
        <v>251</v>
      </c>
      <c r="I34" s="9" t="s">
        <v>130</v>
      </c>
      <c r="J34" s="20"/>
      <c r="K34" s="20" t="n">
        <f aca="false">IF(COUNTIF($B$2:$B$150,A34)&gt;0,SUMIFS($J$2:$J$150,$B$2:$B$150,A34)+N(J34),J34)</f>
        <v>8</v>
      </c>
      <c r="L34" s="20" t="s">
        <v>131</v>
      </c>
      <c r="M34" s="20" t="s">
        <v>132</v>
      </c>
      <c r="N34" s="24" t="s">
        <v>139</v>
      </c>
      <c r="O34" s="9" t="s">
        <v>162</v>
      </c>
      <c r="P34" s="9" t="s">
        <v>57</v>
      </c>
      <c r="Q34" s="9" t="s">
        <v>135</v>
      </c>
      <c r="R34" s="9"/>
      <c r="S34" s="23" t="str">
        <f aca="false">G34&amp;IF(H34="","",CHAR(10)&amp;CHAR(10)&amp;"Criterios de aceptación:"&amp;CHAR(10)&amp;H34)</f>
        <v>Backend, base de datos y frontend publicados en una URL accesible para el equipo y los usuarios piloto, con variables de entorno separadas y despliegue desde develop.
Criterios de aceptación:
• El equipo abre la URL de staging e inicia sesión con un usuario de prueba.
• Un merge a develop se refleja en staging (automático o con un paso documentado).
• Ningún secreto está en el repositorio.</v>
      </c>
    </row>
    <row r="35" customFormat="false" ht="49.5" hidden="false" customHeight="true" outlineLevel="0" collapsed="false">
      <c r="A35" s="26" t="n">
        <v>34</v>
      </c>
      <c r="B35" s="26" t="n">
        <v>33</v>
      </c>
      <c r="C35" s="27" t="s">
        <v>147</v>
      </c>
      <c r="D35" s="27" t="s">
        <v>78</v>
      </c>
      <c r="E35" s="27" t="s">
        <v>24</v>
      </c>
      <c r="F35" s="28" t="s">
        <v>252</v>
      </c>
      <c r="G35" s="27" t="s">
        <v>253</v>
      </c>
      <c r="H35" s="27" t="s">
        <v>254</v>
      </c>
      <c r="I35" s="27"/>
      <c r="J35" s="26" t="n">
        <v>1</v>
      </c>
      <c r="K35" s="26"/>
      <c r="L35" s="26" t="s">
        <v>160</v>
      </c>
      <c r="M35" s="26" t="s">
        <v>161</v>
      </c>
      <c r="N35" s="24" t="s">
        <v>139</v>
      </c>
      <c r="O35" s="27" t="s">
        <v>162</v>
      </c>
      <c r="P35" s="27" t="s">
        <v>57</v>
      </c>
      <c r="Q35" s="27" t="s">
        <v>135</v>
      </c>
      <c r="R35" s="27"/>
      <c r="S35" s="29" t="str">
        <f aca="false">G35&amp;IF(H35="","",CHAR(10)&amp;CHAR(10)&amp;"Criterios de aceptación:"&amp;CHAR(10)&amp;H35)</f>
        <v>Comparar 2 o 3 opciones gratuitas o con crédito estudiantil para Spring Boot + PostgreSQL y para un sitio estático (límites, suspensión por inactividad, región). Registrar la decisión en la tarjeta.
Criterios de aceptación:
• Decisión escrita con el motivo.</v>
      </c>
    </row>
    <row r="36" customFormat="false" ht="45" hidden="false" customHeight="true" outlineLevel="0" collapsed="false">
      <c r="A36" s="26" t="n">
        <v>35</v>
      </c>
      <c r="B36" s="26" t="n">
        <v>33</v>
      </c>
      <c r="C36" s="27" t="s">
        <v>147</v>
      </c>
      <c r="D36" s="27" t="s">
        <v>78</v>
      </c>
      <c r="E36" s="27" t="s">
        <v>24</v>
      </c>
      <c r="F36" s="28" t="s">
        <v>255</v>
      </c>
      <c r="G36" s="27" t="s">
        <v>256</v>
      </c>
      <c r="H36" s="27" t="s">
        <v>257</v>
      </c>
      <c r="I36" s="27"/>
      <c r="J36" s="26" t="n">
        <v>3</v>
      </c>
      <c r="K36" s="26"/>
      <c r="L36" s="26" t="s">
        <v>131</v>
      </c>
      <c r="M36" s="26" t="s">
        <v>132</v>
      </c>
      <c r="N36" s="24" t="s">
        <v>139</v>
      </c>
      <c r="O36" s="27" t="s">
        <v>162</v>
      </c>
      <c r="P36" s="27" t="s">
        <v>57</v>
      </c>
      <c r="Q36" s="27" t="s">
        <v>135</v>
      </c>
      <c r="R36" s="27"/>
      <c r="S36" s="29" t="str">
        <f aca="false">G36&amp;IF(H36="","",CHAR(10)&amp;CHAR(10)&amp;"Criterios de aceptación:"&amp;CHAR(10)&amp;H36)</f>
        <v>Servicio del backend (Dockerfile o build nativo de la plataforma), base PostgreSQL gestionada, variables SPRING_PROFILES_ACTIVE, SPRING_DATASOURCE_*, JWT_SECRET, CORS_ORIGINS.
Criterios de aceptación:
• /actuator/health de staging responde UP.</v>
      </c>
    </row>
    <row r="37" customFormat="false" ht="35.25" hidden="false" customHeight="true" outlineLevel="0" collapsed="false">
      <c r="A37" s="26" t="n">
        <v>36</v>
      </c>
      <c r="B37" s="26" t="n">
        <v>33</v>
      </c>
      <c r="C37" s="27" t="s">
        <v>147</v>
      </c>
      <c r="D37" s="27" t="s">
        <v>78</v>
      </c>
      <c r="E37" s="27" t="s">
        <v>24</v>
      </c>
      <c r="F37" s="28" t="s">
        <v>258</v>
      </c>
      <c r="G37" s="27" t="s">
        <v>259</v>
      </c>
      <c r="H37" s="27" t="s">
        <v>260</v>
      </c>
      <c r="I37" s="27"/>
      <c r="J37" s="26" t="n">
        <v>2</v>
      </c>
      <c r="K37" s="26"/>
      <c r="L37" s="26" t="s">
        <v>131</v>
      </c>
      <c r="M37" s="26" t="s">
        <v>132</v>
      </c>
      <c r="N37" s="24" t="s">
        <v>139</v>
      </c>
      <c r="O37" s="27" t="s">
        <v>162</v>
      </c>
      <c r="P37" s="27" t="s">
        <v>57</v>
      </c>
      <c r="Q37" s="27" t="s">
        <v>135</v>
      </c>
      <c r="R37" s="27"/>
      <c r="S37" s="29" t="str">
        <f aca="false">G37&amp;IF(H37="","",CHAR(10)&amp;CHAR(10)&amp;"Criterios de aceptación:"&amp;CHAR(10)&amp;H37)</f>
        <v>Build de Vite con VITE_API_URL de staging; regla de reescritura para que las rutas de React Router no den 404 al recargar.
Criterios de aceptación:
• Recargar /estudiante en staging no da 404.</v>
      </c>
    </row>
    <row r="38" customFormat="false" ht="32.25" hidden="false" customHeight="true" outlineLevel="0" collapsed="false">
      <c r="A38" s="26" t="n">
        <v>37</v>
      </c>
      <c r="B38" s="26" t="n">
        <v>33</v>
      </c>
      <c r="C38" s="27" t="s">
        <v>147</v>
      </c>
      <c r="D38" s="27" t="s">
        <v>78</v>
      </c>
      <c r="E38" s="27" t="s">
        <v>24</v>
      </c>
      <c r="F38" s="28" t="s">
        <v>261</v>
      </c>
      <c r="G38" s="27" t="s">
        <v>262</v>
      </c>
      <c r="H38" s="27" t="s">
        <v>263</v>
      </c>
      <c r="I38" s="27"/>
      <c r="J38" s="26" t="n">
        <v>2</v>
      </c>
      <c r="K38" s="26"/>
      <c r="L38" s="26" t="s">
        <v>131</v>
      </c>
      <c r="M38" s="26" t="s">
        <v>132</v>
      </c>
      <c r="N38" s="24" t="s">
        <v>139</v>
      </c>
      <c r="O38" s="27" t="s">
        <v>162</v>
      </c>
      <c r="P38" s="27" t="s">
        <v>57</v>
      </c>
      <c r="Q38" s="27" t="s">
        <v>140</v>
      </c>
      <c r="R38" s="27"/>
      <c r="S38" s="29" t="str">
        <f aca="false">G38&amp;IF(H38="","",CHAR(10)&amp;CHAR(10)&amp;"Criterios de aceptación:"&amp;CHAR(10)&amp;H38)</f>
        <v>Sección "Despliegue" en ambos README: URLs, variables, cómo desplegar y quién tiene acceso a la plataforma.
Criterios de aceptación:
• Cualquier integrante puede redesplegar siguiendo el README.</v>
      </c>
    </row>
    <row r="39" customFormat="false" ht="52.5" hidden="false" customHeight="true" outlineLevel="0" collapsed="false">
      <c r="A39" s="20" t="n">
        <v>38</v>
      </c>
      <c r="B39" s="20"/>
      <c r="C39" s="9" t="s">
        <v>126</v>
      </c>
      <c r="D39" s="9" t="s">
        <v>78</v>
      </c>
      <c r="E39" s="9" t="s">
        <v>24</v>
      </c>
      <c r="F39" s="8" t="s">
        <v>264</v>
      </c>
      <c r="G39" s="9" t="s">
        <v>265</v>
      </c>
      <c r="H39" s="9" t="s">
        <v>266</v>
      </c>
      <c r="I39" s="9" t="s">
        <v>130</v>
      </c>
      <c r="J39" s="20"/>
      <c r="K39" s="20" t="n">
        <f aca="false">IF(COUNTIF($B$2:$B$150,A39)&gt;0,SUMIFS($J$2:$J$150,$B$2:$B$150,A39)+N(J39),J39)</f>
        <v>6</v>
      </c>
      <c r="L39" s="20" t="s">
        <v>131</v>
      </c>
      <c r="M39" s="20" t="s">
        <v>132</v>
      </c>
      <c r="N39" s="24" t="s">
        <v>139</v>
      </c>
      <c r="O39" s="9" t="s">
        <v>162</v>
      </c>
      <c r="P39" s="9" t="s">
        <v>59</v>
      </c>
      <c r="Q39" s="9" t="s">
        <v>267</v>
      </c>
      <c r="R39" s="9"/>
      <c r="S39" s="23" t="str">
        <f aca="false">G39&amp;IF(H39="","",CHAR(10)&amp;CHAR(10)&amp;"Criterios de aceptación:"&amp;CHAR(10)&amp;H39)</f>
        <v>GitHub Actions que compila y prueba cada PR hacia develop y main en ambos repositorios, y que se exige como check obligatorio antes de fusionar.
Criterios de aceptación:
• Un PR con una prueba fallando no se puede fusionar.
• El pipeline tarda menos de 10 minutos.</v>
      </c>
    </row>
    <row r="40" customFormat="false" ht="34.5" hidden="false" customHeight="true" outlineLevel="0" collapsed="false">
      <c r="A40" s="26" t="n">
        <v>39</v>
      </c>
      <c r="B40" s="26" t="n">
        <v>38</v>
      </c>
      <c r="C40" s="27" t="s">
        <v>147</v>
      </c>
      <c r="D40" s="27" t="s">
        <v>78</v>
      </c>
      <c r="E40" s="27" t="s">
        <v>24</v>
      </c>
      <c r="F40" s="28" t="s">
        <v>268</v>
      </c>
      <c r="G40" s="27" t="s">
        <v>269</v>
      </c>
      <c r="H40" s="27" t="s">
        <v>270</v>
      </c>
      <c r="I40" s="27"/>
      <c r="J40" s="26" t="n">
        <v>2</v>
      </c>
      <c r="K40" s="26"/>
      <c r="L40" s="26" t="s">
        <v>160</v>
      </c>
      <c r="M40" s="26" t="s">
        <v>161</v>
      </c>
      <c r="N40" s="24" t="s">
        <v>139</v>
      </c>
      <c r="O40" s="27" t="s">
        <v>162</v>
      </c>
      <c r="P40" s="27" t="s">
        <v>59</v>
      </c>
      <c r="Q40" s="27" t="s">
        <v>135</v>
      </c>
      <c r="R40" s="27"/>
      <c r="S40" s="29" t="str">
        <f aca="false">G40&amp;IF(H40="","",CHAR(10)&amp;CHAR(10)&amp;"Criterios de aceptación:"&amp;CHAR(10)&amp;H40)</f>
        <v>.github/workflows/ci.yml: Temurin 21, caché de Maven, ./mvnw verify (Testcontainers funciona en los runners de GitHub).
Criterios de aceptación:
• Corre en cada PR y muestra el resultado en el PR.</v>
      </c>
    </row>
    <row r="41" customFormat="false" ht="27.75" hidden="false" customHeight="true" outlineLevel="0" collapsed="false">
      <c r="A41" s="26" t="n">
        <v>40</v>
      </c>
      <c r="B41" s="26" t="n">
        <v>38</v>
      </c>
      <c r="C41" s="27" t="s">
        <v>147</v>
      </c>
      <c r="D41" s="27" t="s">
        <v>78</v>
      </c>
      <c r="E41" s="27" t="s">
        <v>24</v>
      </c>
      <c r="F41" s="28" t="s">
        <v>271</v>
      </c>
      <c r="G41" s="27" t="s">
        <v>272</v>
      </c>
      <c r="H41" s="27" t="s">
        <v>273</v>
      </c>
      <c r="I41" s="27"/>
      <c r="J41" s="26" t="n">
        <v>2</v>
      </c>
      <c r="K41" s="26"/>
      <c r="L41" s="26" t="s">
        <v>160</v>
      </c>
      <c r="M41" s="26" t="s">
        <v>161</v>
      </c>
      <c r="N41" s="24" t="s">
        <v>139</v>
      </c>
      <c r="O41" s="27" t="s">
        <v>162</v>
      </c>
      <c r="P41" s="27" t="s">
        <v>59</v>
      </c>
      <c r="Q41" s="27" t="s">
        <v>135</v>
      </c>
      <c r="R41" s="27"/>
      <c r="S41" s="29" t="str">
        <f aca="false">G41&amp;IF(H41="","",CHAR(10)&amp;CHAR(10)&amp;"Criterios de aceptación:"&amp;CHAR(10)&amp;H41)</f>
        <v>Node 24, npm ci, npm run lint y npm run build.
Criterios de aceptación:
• Corre en cada PR.</v>
      </c>
    </row>
    <row r="42" customFormat="false" ht="39" hidden="false" customHeight="true" outlineLevel="0" collapsed="false">
      <c r="A42" s="26" t="n">
        <v>41</v>
      </c>
      <c r="B42" s="26" t="n">
        <v>38</v>
      </c>
      <c r="C42" s="27" t="s">
        <v>147</v>
      </c>
      <c r="D42" s="27" t="s">
        <v>78</v>
      </c>
      <c r="E42" s="27" t="s">
        <v>24</v>
      </c>
      <c r="F42" s="28" t="s">
        <v>274</v>
      </c>
      <c r="G42" s="27" t="s">
        <v>275</v>
      </c>
      <c r="H42" s="27" t="s">
        <v>276</v>
      </c>
      <c r="I42" s="27"/>
      <c r="J42" s="26" t="n">
        <v>1</v>
      </c>
      <c r="K42" s="26"/>
      <c r="L42" s="26" t="s">
        <v>131</v>
      </c>
      <c r="M42" s="26" t="s">
        <v>132</v>
      </c>
      <c r="N42" s="24" t="s">
        <v>139</v>
      </c>
      <c r="O42" s="27" t="s">
        <v>162</v>
      </c>
      <c r="P42" s="27" t="s">
        <v>59</v>
      </c>
      <c r="Q42" s="27" t="s">
        <v>135</v>
      </c>
      <c r="R42" s="27"/>
      <c r="S42" s="29" t="str">
        <f aca="false">G42&amp;IF(H42="","",CHAR(10)&amp;CHAR(10)&amp;"Criterios de aceptación:"&amp;CHAR(10)&amp;H42)</f>
        <v>Agregar "Require status checks to pass" con los jobs de CI en main y develop de ambos repos (requiere permisos de admin: coordinar con Jorel).
Criterios de aceptación:
• El botón de merge queda bloqueado si CI falla.</v>
      </c>
    </row>
    <row r="43" customFormat="false" ht="27.75" hidden="false" customHeight="true" outlineLevel="0" collapsed="false">
      <c r="A43" s="26" t="n">
        <v>42</v>
      </c>
      <c r="B43" s="26" t="n">
        <v>38</v>
      </c>
      <c r="C43" s="27" t="s">
        <v>147</v>
      </c>
      <c r="D43" s="27" t="s">
        <v>78</v>
      </c>
      <c r="E43" s="27" t="s">
        <v>24</v>
      </c>
      <c r="F43" s="28" t="s">
        <v>277</v>
      </c>
      <c r="G43" s="27" t="s">
        <v>278</v>
      </c>
      <c r="H43" s="27" t="s">
        <v>279</v>
      </c>
      <c r="I43" s="27"/>
      <c r="J43" s="26" t="n">
        <v>1</v>
      </c>
      <c r="K43" s="26"/>
      <c r="L43" s="26" t="s">
        <v>131</v>
      </c>
      <c r="M43" s="26" t="s">
        <v>132</v>
      </c>
      <c r="N43" s="24" t="s">
        <v>139</v>
      </c>
      <c r="O43" s="27" t="s">
        <v>162</v>
      </c>
      <c r="P43" s="27" t="s">
        <v>59</v>
      </c>
      <c r="Q43" s="27" t="s">
        <v>140</v>
      </c>
      <c r="R43" s="27"/>
      <c r="S43" s="29" t="str">
        <f aca="false">G43&amp;IF(H43="","",CHAR(10)&amp;CHAR(10)&amp;"Criterios de aceptación:"&amp;CHAR(10)&amp;H43)</f>
        <v>Badge del workflow en ambos README.
Criterios de aceptación:
• El badge refleja el estado de develop.</v>
      </c>
    </row>
    <row r="44" customFormat="false" ht="96.75" hidden="false" customHeight="true" outlineLevel="0" collapsed="false">
      <c r="A44" s="20" t="n">
        <v>43</v>
      </c>
      <c r="B44" s="20"/>
      <c r="C44" s="9" t="s">
        <v>126</v>
      </c>
      <c r="D44" s="9" t="s">
        <v>82</v>
      </c>
      <c r="E44" s="9" t="s">
        <v>24</v>
      </c>
      <c r="F44" s="8" t="s">
        <v>280</v>
      </c>
      <c r="G44" s="9" t="s">
        <v>281</v>
      </c>
      <c r="H44" s="9" t="s">
        <v>282</v>
      </c>
      <c r="I44" s="9" t="s">
        <v>130</v>
      </c>
      <c r="J44" s="20"/>
      <c r="K44" s="20" t="n">
        <f aca="false">IF(COUNTIF($B$2:$B$150,A44)&gt;0,SUMIFS($J$2:$J$150,$B$2:$B$150,A44)+N(J44),J44)</f>
        <v>8</v>
      </c>
      <c r="L44" s="20" t="s">
        <v>131</v>
      </c>
      <c r="M44" s="20" t="s">
        <v>132</v>
      </c>
      <c r="N44" s="21" t="s">
        <v>133</v>
      </c>
      <c r="O44" s="9" t="s">
        <v>162</v>
      </c>
      <c r="P44" s="9" t="s">
        <v>55</v>
      </c>
      <c r="Q44" s="9" t="s">
        <v>188</v>
      </c>
      <c r="R44" s="9"/>
      <c r="S44" s="23" t="str">
        <f aca="false">G44&amp;IF(H44="","",CHAR(10)&amp;CHAR(10)&amp;"Criterios de aceptación:"&amp;CHAR(10)&amp;H44)</f>
        <v>Tablas y entidades de la prueba diagnóstica, sus ítems y opciones, los intentos de cada estudiante, sus respuestas y el resultado por dimensión, consistentes con el modelo conceptual del capítulo 4.
Criterios de aceptación:
• La migración corre sin errores y la app arranca con ddl-auto: validate.
• Un estudiante no puede tener dos intentos EN_CURSO de la misma prueba (restricción en BD).
• No se puede registrar dos respuestas para el mismo ítem en el mismo intento.</v>
      </c>
    </row>
    <row r="45" customFormat="false" ht="117.75" hidden="false" customHeight="true" outlineLevel="0" collapsed="false">
      <c r="A45" s="26" t="n">
        <v>44</v>
      </c>
      <c r="B45" s="26" t="n">
        <v>43</v>
      </c>
      <c r="C45" s="27" t="s">
        <v>147</v>
      </c>
      <c r="D45" s="27" t="s">
        <v>82</v>
      </c>
      <c r="E45" s="27" t="s">
        <v>24</v>
      </c>
      <c r="F45" s="28" t="s">
        <v>283</v>
      </c>
      <c r="G45" s="27" t="s">
        <v>284</v>
      </c>
      <c r="H45" s="27" t="s">
        <v>285</v>
      </c>
      <c r="I45" s="27"/>
      <c r="J45" s="26" t="n">
        <v>4</v>
      </c>
      <c r="K45" s="26"/>
      <c r="L45" s="26" t="s">
        <v>160</v>
      </c>
      <c r="M45" s="26" t="s">
        <v>161</v>
      </c>
      <c r="N45" s="21" t="s">
        <v>133</v>
      </c>
      <c r="O45" s="27" t="s">
        <v>162</v>
      </c>
      <c r="P45" s="27" t="s">
        <v>55</v>
      </c>
      <c r="Q45" s="27" t="s">
        <v>192</v>
      </c>
      <c r="R45" s="27"/>
      <c r="S45" s="29" t="str">
        <f aca="false">G45&amp;IF(H45="","",CHAR(10)&amp;CHAR(10)&amp;"Criterios de aceptación:"&amp;CHAR(10)&amp;H45)</f>
        <v>prueba_diagnostica(id, nombre, version, tiempo_limite_min, activa); item(id, prueba_id, numero, enunciado, competencia_id, activo); opcion(id, item_id, letra, texto, es_correcta); intento_diagnostico(id, usuario_id, prueba_id, estado EN_CURSO/FINALIZADO, iniciado_en, finalizado_en, puntaje_total, categoria); respuesta_diagnostico(id, intento_id, item_id, opcion_id, respondida_en, UNIQUE(intento_id, item_id)); resultado_dimension(id, intento_id, competencia_id, aciertos, total, porcentaje). Índice único parcial para un solo intento EN_CURSO por usuario y prueba.
Criterios de aceptación:
• Las restricciones del criterio de aceptación están en la migración.</v>
      </c>
    </row>
    <row r="46" customFormat="false" ht="33.75" hidden="false" customHeight="true" outlineLevel="0" collapsed="false">
      <c r="A46" s="26" t="n">
        <v>45</v>
      </c>
      <c r="B46" s="26" t="n">
        <v>43</v>
      </c>
      <c r="C46" s="27" t="s">
        <v>147</v>
      </c>
      <c r="D46" s="27" t="s">
        <v>82</v>
      </c>
      <c r="E46" s="27" t="s">
        <v>24</v>
      </c>
      <c r="F46" s="28" t="s">
        <v>286</v>
      </c>
      <c r="G46" s="27" t="s">
        <v>287</v>
      </c>
      <c r="H46" s="27" t="s">
        <v>288</v>
      </c>
      <c r="I46" s="27"/>
      <c r="J46" s="26" t="n">
        <v>3</v>
      </c>
      <c r="K46" s="26"/>
      <c r="L46" s="26" t="s">
        <v>131</v>
      </c>
      <c r="M46" s="26" t="s">
        <v>132</v>
      </c>
      <c r="N46" s="21" t="s">
        <v>133</v>
      </c>
      <c r="O46" s="27" t="s">
        <v>162</v>
      </c>
      <c r="P46" s="27" t="s">
        <v>55</v>
      </c>
      <c r="Q46" s="27" t="s">
        <v>146</v>
      </c>
      <c r="R46" s="27"/>
      <c r="S46" s="29" t="str">
        <f aca="false">G46&amp;IF(H46="","",CHAR(10)&amp;CHAR(10)&amp;"Criterios de aceptación:"&amp;CHAR(10)&amp;H46)</f>
        <v>Entidades y repositorios en diagnostico/entity y diagnostico/repository; enums EstadoIntento y CategoriaDesempeno.
Criterios de aceptación:
• La app arranca con validate y hay una prueba de repositorio básica.</v>
      </c>
    </row>
    <row r="47" customFormat="false" ht="31.5" hidden="false" customHeight="true" outlineLevel="0" collapsed="false">
      <c r="A47" s="26" t="n">
        <v>46</v>
      </c>
      <c r="B47" s="26" t="n">
        <v>43</v>
      </c>
      <c r="C47" s="27" t="s">
        <v>147</v>
      </c>
      <c r="D47" s="27" t="s">
        <v>82</v>
      </c>
      <c r="E47" s="27" t="s">
        <v>24</v>
      </c>
      <c r="F47" s="28" t="s">
        <v>289</v>
      </c>
      <c r="G47" s="27" t="s">
        <v>290</v>
      </c>
      <c r="H47" s="27" t="s">
        <v>291</v>
      </c>
      <c r="I47" s="27"/>
      <c r="J47" s="26" t="n">
        <v>1</v>
      </c>
      <c r="K47" s="26"/>
      <c r="L47" s="26" t="s">
        <v>131</v>
      </c>
      <c r="M47" s="26" t="s">
        <v>132</v>
      </c>
      <c r="N47" s="21" t="s">
        <v>133</v>
      </c>
      <c r="O47" s="27" t="s">
        <v>162</v>
      </c>
      <c r="P47" s="27" t="s">
        <v>53</v>
      </c>
      <c r="Q47" s="27" t="s">
        <v>188</v>
      </c>
      <c r="R47" s="27"/>
      <c r="S47" s="29" t="str">
        <f aca="false">G47&amp;IF(H47="","",CHAR(10)&amp;CHAR(10)&amp;"Criterios de aceptación:"&amp;CHAR(10)&amp;H47)</f>
        <v>Jorel revisa el modelo antes de fusionar, porque el motor adaptativo y los indicadores dependen de él.
Criterios de aceptación:
• PR aprobado por Jorel.</v>
      </c>
    </row>
    <row r="48" customFormat="false" ht="108" hidden="false" customHeight="true" outlineLevel="0" collapsed="false">
      <c r="A48" s="20" t="n">
        <v>47</v>
      </c>
      <c r="B48" s="20"/>
      <c r="C48" s="9" t="s">
        <v>126</v>
      </c>
      <c r="D48" s="9" t="s">
        <v>82</v>
      </c>
      <c r="E48" s="9" t="s">
        <v>24</v>
      </c>
      <c r="F48" s="8" t="s">
        <v>292</v>
      </c>
      <c r="G48" s="9" t="s">
        <v>293</v>
      </c>
      <c r="H48" s="9" t="s">
        <v>294</v>
      </c>
      <c r="I48" s="9" t="s">
        <v>130</v>
      </c>
      <c r="J48" s="20"/>
      <c r="K48" s="20" t="n">
        <f aca="false">IF(COUNTIF($B$2:$B$150,A48)&gt;0,SUMIFS($J$2:$J$150,$B$2:$B$150,A48)+N(J48),J48)</f>
        <v>6</v>
      </c>
      <c r="L48" s="20" t="s">
        <v>131</v>
      </c>
      <c r="M48" s="20" t="s">
        <v>132</v>
      </c>
      <c r="N48" s="24" t="s">
        <v>139</v>
      </c>
      <c r="O48" s="9" t="s">
        <v>162</v>
      </c>
      <c r="P48" s="9" t="s">
        <v>59</v>
      </c>
      <c r="Q48" s="9" t="s">
        <v>295</v>
      </c>
      <c r="R48" s="9"/>
      <c r="S48" s="23" t="str">
        <f aca="false">G48&amp;IF(H48="","",CHAR(10)&amp;CHAR(10)&amp;"Criterios de aceptación:"&amp;CHAR(10)&amp;H48)</f>
        <v>Cargar los 24 ítems de la Prueba Diagnóstica de Competencias Matemáticas (enunciado, opciones, clave y dimensión) a la base de datos desde un CSV revisado.
Criterios de aceptación:
• La base contiene exactamente 24 ítems activos, cada uno con una sola opción correcta y una dimensión.
• Las expresiones matemáticas se ven correctamente con KaTeX.
• Los ítems 8 y 17 tienen su clave revisada, y los ítems 1 y 15 una nota sobre su efecto techo (decisiones derivadas del cap. 3).</v>
      </c>
    </row>
    <row r="49" customFormat="false" ht="68.25" hidden="false" customHeight="true" outlineLevel="0" collapsed="false">
      <c r="A49" s="26" t="n">
        <v>48</v>
      </c>
      <c r="B49" s="26" t="n">
        <v>47</v>
      </c>
      <c r="C49" s="27" t="s">
        <v>147</v>
      </c>
      <c r="D49" s="27" t="s">
        <v>82</v>
      </c>
      <c r="E49" s="27" t="s">
        <v>24</v>
      </c>
      <c r="F49" s="28" t="s">
        <v>296</v>
      </c>
      <c r="G49" s="27" t="s">
        <v>297</v>
      </c>
      <c r="H49" s="27" t="s">
        <v>298</v>
      </c>
      <c r="I49" s="27"/>
      <c r="J49" s="26" t="n">
        <v>3</v>
      </c>
      <c r="K49" s="26"/>
      <c r="L49" s="26" t="s">
        <v>166</v>
      </c>
      <c r="M49" s="26" t="s">
        <v>167</v>
      </c>
      <c r="N49" s="24" t="s">
        <v>139</v>
      </c>
      <c r="O49" s="27" t="s">
        <v>162</v>
      </c>
      <c r="P49" s="27" t="s">
        <v>59</v>
      </c>
      <c r="Q49" s="27" t="s">
        <v>299</v>
      </c>
      <c r="R49" s="27"/>
      <c r="S49" s="29" t="str">
        <f aca="false">G49&amp;IF(H49="","",CHAR(10)&amp;CHAR(10)&amp;"Criterios de aceptación:"&amp;CHAR(10)&amp;H49)</f>
        <v>docs/datos/items_diagnostico.csv (UTF-8) con columnas: numero, dimension (ALGEBRAICA/LOGICA/FUNCIONAL), enunciado, opcion_a, opcion_b, opcion_c, opcion_d, respuesta_correcta (A-D), observaciones. Fórmulas en notación LaTeX entre $…$ (ej. $x^2-5x+6=0$). Tomar el texto exacto del formulario aplicado.
Criterios de aceptación:
• 24 filas, sin celdas vacías obligatorias, abre bien en Excel y en el editor.</v>
      </c>
    </row>
    <row r="50" customFormat="false" ht="48" hidden="false" customHeight="true" outlineLevel="0" collapsed="false">
      <c r="A50" s="26" t="n">
        <v>49</v>
      </c>
      <c r="B50" s="26" t="n">
        <v>47</v>
      </c>
      <c r="C50" s="27" t="s">
        <v>147</v>
      </c>
      <c r="D50" s="27" t="s">
        <v>82</v>
      </c>
      <c r="E50" s="27" t="s">
        <v>24</v>
      </c>
      <c r="F50" s="28" t="s">
        <v>300</v>
      </c>
      <c r="G50" s="27" t="s">
        <v>301</v>
      </c>
      <c r="H50" s="27" t="s">
        <v>302</v>
      </c>
      <c r="I50" s="27"/>
      <c r="J50" s="26" t="n">
        <v>1</v>
      </c>
      <c r="K50" s="26"/>
      <c r="L50" s="26" t="s">
        <v>160</v>
      </c>
      <c r="M50" s="26" t="s">
        <v>161</v>
      </c>
      <c r="N50" s="24" t="s">
        <v>139</v>
      </c>
      <c r="O50" s="27" t="s">
        <v>162</v>
      </c>
      <c r="P50" s="27" t="s">
        <v>59</v>
      </c>
      <c r="Q50" s="27" t="s">
        <v>303</v>
      </c>
      <c r="R50" s="27"/>
      <c r="S50" s="29" t="str">
        <f aca="false">G50&amp;IF(H50="","",CHAR(10)&amp;CHAR(10)&amp;"Criterios de aceptación:"&amp;CHAR(10)&amp;H50)</f>
        <v>Revisión por un segundo integrante: ortografía, LaTeX que renderiza, una sola clave por ítem, dimensión asignada según el instrumento, claves de los ítems 8 y 17 revisadas contra la fuente.
Criterios de aceptación:
• Checklist de revisión marcado en la tarjeta.</v>
      </c>
    </row>
    <row r="51" customFormat="false" ht="39.75" hidden="false" customHeight="true" outlineLevel="0" collapsed="false">
      <c r="A51" s="26" t="n">
        <v>50</v>
      </c>
      <c r="B51" s="26" t="n">
        <v>47</v>
      </c>
      <c r="C51" s="27" t="s">
        <v>147</v>
      </c>
      <c r="D51" s="27" t="s">
        <v>82</v>
      </c>
      <c r="E51" s="27" t="s">
        <v>24</v>
      </c>
      <c r="F51" s="28" t="s">
        <v>304</v>
      </c>
      <c r="G51" s="27" t="s">
        <v>305</v>
      </c>
      <c r="H51" s="27" t="s">
        <v>306</v>
      </c>
      <c r="I51" s="27"/>
      <c r="J51" s="26" t="n">
        <v>2</v>
      </c>
      <c r="K51" s="26"/>
      <c r="L51" s="26" t="s">
        <v>131</v>
      </c>
      <c r="M51" s="26" t="s">
        <v>132</v>
      </c>
      <c r="N51" s="24" t="s">
        <v>139</v>
      </c>
      <c r="O51" s="27" t="s">
        <v>162</v>
      </c>
      <c r="P51" s="27" t="s">
        <v>59</v>
      </c>
      <c r="Q51" s="27" t="s">
        <v>192</v>
      </c>
      <c r="R51" s="27"/>
      <c r="S51" s="29" t="str">
        <f aca="false">G51&amp;IF(H51="","",CHAR(10)&amp;CHAR(10)&amp;"Criterios de aceptación:"&amp;CHAR(10)&amp;H51)</f>
        <v>Convertir el CSV en una migración Flyway de datos (INSERT de prueba_diagnostica versión 1, item y opcion). Mantener el CSV como fuente en el repo.
Criterios de aceptación:
• En una base limpia quedan cargados los 24 ítems con sus 4 opciones.</v>
      </c>
    </row>
    <row r="52" customFormat="false" ht="115.5" hidden="false" customHeight="true" outlineLevel="0" collapsed="false">
      <c r="A52" s="20" t="n">
        <v>51</v>
      </c>
      <c r="B52" s="20"/>
      <c r="C52" s="9" t="s">
        <v>206</v>
      </c>
      <c r="D52" s="9" t="s">
        <v>82</v>
      </c>
      <c r="E52" s="9" t="s">
        <v>29</v>
      </c>
      <c r="F52" s="8" t="s">
        <v>307</v>
      </c>
      <c r="G52" s="9" t="s">
        <v>308</v>
      </c>
      <c r="H52" s="9" t="s">
        <v>309</v>
      </c>
      <c r="I52" s="9" t="s">
        <v>310</v>
      </c>
      <c r="J52" s="20"/>
      <c r="K52" s="20" t="n">
        <f aca="false">IF(COUNTIF($B$2:$B$150,A52)&gt;0,SUMIFS($J$2:$J$150,$B$2:$B$150,A52)+N(J52),J52)</f>
        <v>12</v>
      </c>
      <c r="L52" s="20" t="s">
        <v>311</v>
      </c>
      <c r="M52" s="20" t="s">
        <v>312</v>
      </c>
      <c r="N52" s="21" t="s">
        <v>133</v>
      </c>
      <c r="O52" s="9" t="s">
        <v>162</v>
      </c>
      <c r="P52" s="9" t="s">
        <v>55</v>
      </c>
      <c r="Q52" s="9" t="s">
        <v>146</v>
      </c>
      <c r="R52" s="9"/>
      <c r="S52" s="23" t="str">
        <f aca="false">G52&amp;IF(H52="","",CHAR(10)&amp;CHAR(10)&amp;"Criterios de aceptación:"&amp;CHAR(10)&amp;H52)</f>
        <v>Como estudiante quiero presentar la prueba diagnóstica, con mis respuestas guardadas a medida que avanzo, y poder retomarla si se interrumpe mi sesión.
Criterios de aceptación:
• Un estudiante puede iniciar, responder, retomar y finalizar la prueba.
• La respuesta correcta nunca viaja al frontend antes de finalizar.
• Responder dos veces el mismo ítem actualiza la respuesta (no la duplica).
• Solo el rol ESTUDIANTE puede usar estos endpoints.</v>
      </c>
    </row>
    <row r="53" customFormat="false" ht="73.5" hidden="false" customHeight="true" outlineLevel="0" collapsed="false">
      <c r="A53" s="26" t="n">
        <v>52</v>
      </c>
      <c r="B53" s="26" t="n">
        <v>51</v>
      </c>
      <c r="C53" s="27" t="s">
        <v>147</v>
      </c>
      <c r="D53" s="27" t="s">
        <v>82</v>
      </c>
      <c r="E53" s="27" t="s">
        <v>29</v>
      </c>
      <c r="F53" s="28" t="s">
        <v>313</v>
      </c>
      <c r="G53" s="27" t="s">
        <v>314</v>
      </c>
      <c r="H53" s="27" t="s">
        <v>315</v>
      </c>
      <c r="I53" s="27"/>
      <c r="J53" s="26" t="n">
        <v>1</v>
      </c>
      <c r="K53" s="26"/>
      <c r="L53" s="26" t="s">
        <v>311</v>
      </c>
      <c r="M53" s="26" t="s">
        <v>312</v>
      </c>
      <c r="N53" s="21" t="s">
        <v>133</v>
      </c>
      <c r="O53" s="27" t="s">
        <v>162</v>
      </c>
      <c r="P53" s="27" t="s">
        <v>55</v>
      </c>
      <c r="Q53" s="27" t="s">
        <v>146</v>
      </c>
      <c r="R53" s="27"/>
      <c r="S53" s="29" t="str">
        <f aca="false">G53&amp;IF(H53="","",CHAR(10)&amp;CHAR(10)&amp;"Criterios de aceptación:"&amp;CHAR(10)&amp;H53)</f>
        <v>POST /api/diagnosticos/intentos (inicia o devuelve el EN_CURSO), GET /api/diagnosticos/intentos/{id} (ítems sin clave + respuestas ya dadas + tiempo restante), PUT /api/diagnosticos/intentos/{id}/respuestas/{itemId} {opcionId}, POST /api/diagnosticos/intentos/{id}/finalizar. Publicarlo en la tarjeta el primer día del sprint.
Criterios de aceptación:
• Nicolás confirma el contrato.</v>
      </c>
    </row>
    <row r="54" customFormat="false" ht="33.75" hidden="false" customHeight="true" outlineLevel="0" collapsed="false">
      <c r="A54" s="26" t="n">
        <v>53</v>
      </c>
      <c r="B54" s="26" t="n">
        <v>51</v>
      </c>
      <c r="C54" s="27" t="s">
        <v>147</v>
      </c>
      <c r="D54" s="27" t="s">
        <v>82</v>
      </c>
      <c r="E54" s="27" t="s">
        <v>29</v>
      </c>
      <c r="F54" s="28" t="s">
        <v>316</v>
      </c>
      <c r="G54" s="27" t="s">
        <v>317</v>
      </c>
      <c r="H54" s="27" t="s">
        <v>318</v>
      </c>
      <c r="I54" s="27"/>
      <c r="J54" s="26" t="n">
        <v>3</v>
      </c>
      <c r="K54" s="26"/>
      <c r="L54" s="26" t="s">
        <v>311</v>
      </c>
      <c r="M54" s="26" t="s">
        <v>312</v>
      </c>
      <c r="N54" s="21" t="s">
        <v>133</v>
      </c>
      <c r="O54" s="27" t="s">
        <v>162</v>
      </c>
      <c r="P54" s="27" t="s">
        <v>55</v>
      </c>
      <c r="Q54" s="27" t="s">
        <v>146</v>
      </c>
      <c r="R54" s="27"/>
      <c r="S54" s="29" t="str">
        <f aca="false">G54&amp;IF(H54="","",CHAR(10)&amp;CHAR(10)&amp;"Criterios de aceptación:"&amp;CHAR(10)&amp;H54)</f>
        <v>Servicio que crea el intento EN_CURSO o devuelve el existente; valida que el intento sea del usuario autenticado.
Criterios de aceptación:
• Un segundo POST no crea otro intento.</v>
      </c>
    </row>
    <row r="55" customFormat="false" ht="32.25" hidden="false" customHeight="true" outlineLevel="0" collapsed="false">
      <c r="A55" s="26" t="n">
        <v>54</v>
      </c>
      <c r="B55" s="26" t="n">
        <v>51</v>
      </c>
      <c r="C55" s="27" t="s">
        <v>147</v>
      </c>
      <c r="D55" s="27" t="s">
        <v>82</v>
      </c>
      <c r="E55" s="27" t="s">
        <v>29</v>
      </c>
      <c r="F55" s="28" t="s">
        <v>319</v>
      </c>
      <c r="G55" s="27" t="s">
        <v>320</v>
      </c>
      <c r="H55" s="27" t="s">
        <v>321</v>
      </c>
      <c r="I55" s="27"/>
      <c r="J55" s="26" t="n">
        <v>2</v>
      </c>
      <c r="K55" s="26"/>
      <c r="L55" s="26" t="s">
        <v>311</v>
      </c>
      <c r="M55" s="26" t="s">
        <v>312</v>
      </c>
      <c r="N55" s="21" t="s">
        <v>133</v>
      </c>
      <c r="O55" s="27" t="s">
        <v>162</v>
      </c>
      <c r="P55" s="27" t="s">
        <v>55</v>
      </c>
      <c r="Q55" s="27" t="s">
        <v>218</v>
      </c>
      <c r="R55" s="27"/>
      <c r="S55" s="29" t="str">
        <f aca="false">G55&amp;IF(H55="","",CHAR(10)&amp;CHAR(10)&amp;"Criterios de aceptación:"&amp;CHAR(10)&amp;H55)</f>
        <v>DTO ItemDiagnosticoResponse (numero, enunciado, opciones sin es_correcta, dimensión) en el orden definido.
Criterios de aceptación:
• Ninguna respuesta del endpoint contiene es_correcta.</v>
      </c>
    </row>
    <row r="56" customFormat="false" ht="32.25" hidden="false" customHeight="true" outlineLevel="0" collapsed="false">
      <c r="A56" s="26" t="n">
        <v>55</v>
      </c>
      <c r="B56" s="26" t="n">
        <v>51</v>
      </c>
      <c r="C56" s="27" t="s">
        <v>147</v>
      </c>
      <c r="D56" s="27" t="s">
        <v>82</v>
      </c>
      <c r="E56" s="27" t="s">
        <v>29</v>
      </c>
      <c r="F56" s="28" t="s">
        <v>322</v>
      </c>
      <c r="G56" s="27" t="s">
        <v>323</v>
      </c>
      <c r="H56" s="27" t="s">
        <v>324</v>
      </c>
      <c r="I56" s="27"/>
      <c r="J56" s="26" t="n">
        <v>3</v>
      </c>
      <c r="K56" s="26"/>
      <c r="L56" s="26" t="s">
        <v>311</v>
      </c>
      <c r="M56" s="26" t="s">
        <v>312</v>
      </c>
      <c r="N56" s="21" t="s">
        <v>133</v>
      </c>
      <c r="O56" s="27" t="s">
        <v>162</v>
      </c>
      <c r="P56" s="27" t="s">
        <v>55</v>
      </c>
      <c r="Q56" s="27" t="s">
        <v>146</v>
      </c>
      <c r="R56" s="27"/>
      <c r="S56" s="29" t="str">
        <f aca="false">G56&amp;IF(H56="","",CHAR(10)&amp;CHAR(10)&amp;"Criterios de aceptación:"&amp;CHAR(10)&amp;H56)</f>
        <v>Upsert por (intento, ítem) con marca de tiempo; rechaza intentos FINALIZADOS (409) o de otro usuario (403).
Criterios de aceptación:
• Pruebas de upsert, intento finalizado y usuario ajeno.</v>
      </c>
    </row>
    <row r="57" customFormat="false" ht="30" hidden="false" customHeight="true" outlineLevel="0" collapsed="false">
      <c r="A57" s="26" t="n">
        <v>56</v>
      </c>
      <c r="B57" s="26" t="n">
        <v>51</v>
      </c>
      <c r="C57" s="27" t="s">
        <v>147</v>
      </c>
      <c r="D57" s="27" t="s">
        <v>82</v>
      </c>
      <c r="E57" s="27" t="s">
        <v>29</v>
      </c>
      <c r="F57" s="28" t="s">
        <v>325</v>
      </c>
      <c r="G57" s="27" t="s">
        <v>326</v>
      </c>
      <c r="H57" s="27" t="s">
        <v>327</v>
      </c>
      <c r="I57" s="27"/>
      <c r="J57" s="26" t="n">
        <v>3</v>
      </c>
      <c r="K57" s="26"/>
      <c r="L57" s="26" t="s">
        <v>311</v>
      </c>
      <c r="M57" s="26" t="s">
        <v>312</v>
      </c>
      <c r="N57" s="21" t="s">
        <v>133</v>
      </c>
      <c r="O57" s="27" t="s">
        <v>162</v>
      </c>
      <c r="P57" s="27" t="s">
        <v>55</v>
      </c>
      <c r="Q57" s="27" t="s">
        <v>146</v>
      </c>
      <c r="R57" s="27"/>
      <c r="S57" s="29" t="str">
        <f aca="false">G57&amp;IF(H57="","",CHAR(10)&amp;CHAR(10)&amp;"Criterios de aceptación:"&amp;CHAR(10)&amp;H57)</f>
        <v>Finaliza manualmente o al vencer tiempo_limite_min; al finalizar dispara el cálculo de puntaje.
Criterios de aceptación:
• Un intento vencido no acepta respuestas.</v>
      </c>
    </row>
    <row r="58" customFormat="false" ht="91.5" hidden="false" customHeight="true" outlineLevel="0" collapsed="false">
      <c r="A58" s="20" t="n">
        <v>57</v>
      </c>
      <c r="B58" s="20"/>
      <c r="C58" s="9" t="s">
        <v>206</v>
      </c>
      <c r="D58" s="9" t="s">
        <v>82</v>
      </c>
      <c r="E58" s="9" t="s">
        <v>29</v>
      </c>
      <c r="F58" s="8" t="s">
        <v>328</v>
      </c>
      <c r="G58" s="9" t="s">
        <v>329</v>
      </c>
      <c r="H58" s="9" t="s">
        <v>330</v>
      </c>
      <c r="I58" s="9" t="s">
        <v>331</v>
      </c>
      <c r="J58" s="20"/>
      <c r="K58" s="20" t="n">
        <f aca="false">IF(COUNTIF($B$2:$B$150,A58)&gt;0,SUMIFS($J$2:$J$150,$B$2:$B$150,A58)+N(J58),J58)</f>
        <v>8</v>
      </c>
      <c r="L58" s="20" t="s">
        <v>311</v>
      </c>
      <c r="M58" s="20" t="s">
        <v>312</v>
      </c>
      <c r="N58" s="21" t="s">
        <v>133</v>
      </c>
      <c r="O58" s="9" t="s">
        <v>162</v>
      </c>
      <c r="P58" s="9" t="s">
        <v>55</v>
      </c>
      <c r="Q58" s="9" t="s">
        <v>146</v>
      </c>
      <c r="R58" s="9"/>
      <c r="S58" s="23" t="str">
        <f aca="false">G58&amp;IF(H58="","",CHAR(10)&amp;CHAR(10)&amp;"Criterios de aceptación:"&amp;CHAR(10)&amp;H58)</f>
        <v>Al finalizar la prueba, calcular el puntaje total (0 a 24) y el puntaje por dimensión (algebraica, lógica, funcional) y guardarlos.
Criterios de aceptación:
• El puntaje total y por dimensión coincide con un cálculo manual en al menos 3 casos de prueba.
• Los ítems sin responder cuentan como incorrectos.
• El resultado queda guardado en intento_diagnostico y resultado_dimension.</v>
      </c>
    </row>
    <row r="59" customFormat="false" ht="30.75" hidden="false" customHeight="true" outlineLevel="0" collapsed="false">
      <c r="A59" s="26" t="n">
        <v>58</v>
      </c>
      <c r="B59" s="26" t="n">
        <v>57</v>
      </c>
      <c r="C59" s="27" t="s">
        <v>147</v>
      </c>
      <c r="D59" s="27" t="s">
        <v>82</v>
      </c>
      <c r="E59" s="27" t="s">
        <v>29</v>
      </c>
      <c r="F59" s="28" t="s">
        <v>332</v>
      </c>
      <c r="G59" s="27" t="s">
        <v>333</v>
      </c>
      <c r="H59" s="27" t="s">
        <v>334</v>
      </c>
      <c r="I59" s="27"/>
      <c r="J59" s="26" t="n">
        <v>4</v>
      </c>
      <c r="K59" s="26"/>
      <c r="L59" s="26" t="s">
        <v>311</v>
      </c>
      <c r="M59" s="26" t="s">
        <v>312</v>
      </c>
      <c r="N59" s="21" t="s">
        <v>133</v>
      </c>
      <c r="O59" s="27" t="s">
        <v>162</v>
      </c>
      <c r="P59" s="27" t="s">
        <v>55</v>
      </c>
      <c r="Q59" s="27" t="s">
        <v>146</v>
      </c>
      <c r="R59" s="27"/>
      <c r="S59" s="29" t="str">
        <f aca="false">G59&amp;IF(H59="","",CHAR(10)&amp;CHAR(10)&amp;"Criterios de aceptación:"&amp;CHAR(10)&amp;H59)</f>
        <v>CalificacionService: compara cada respuesta con la opción correcta (1/0) y agrega por competencia.
Criterios de aceptación:
• Casos: todo correcto, todo incorrecto, parcial con ítems vacíos.</v>
      </c>
    </row>
    <row r="60" customFormat="false" ht="30.75" hidden="false" customHeight="true" outlineLevel="0" collapsed="false">
      <c r="A60" s="26" t="n">
        <v>59</v>
      </c>
      <c r="B60" s="26" t="n">
        <v>57</v>
      </c>
      <c r="C60" s="27" t="s">
        <v>147</v>
      </c>
      <c r="D60" s="27" t="s">
        <v>82</v>
      </c>
      <c r="E60" s="27" t="s">
        <v>29</v>
      </c>
      <c r="F60" s="28" t="s">
        <v>335</v>
      </c>
      <c r="G60" s="27" t="s">
        <v>336</v>
      </c>
      <c r="H60" s="27" t="s">
        <v>337</v>
      </c>
      <c r="I60" s="27"/>
      <c r="J60" s="26" t="n">
        <v>2</v>
      </c>
      <c r="K60" s="26"/>
      <c r="L60" s="26" t="s">
        <v>311</v>
      </c>
      <c r="M60" s="26" t="s">
        <v>312</v>
      </c>
      <c r="N60" s="21" t="s">
        <v>133</v>
      </c>
      <c r="O60" s="27" t="s">
        <v>162</v>
      </c>
      <c r="P60" s="27" t="s">
        <v>55</v>
      </c>
      <c r="Q60" s="27" t="s">
        <v>146</v>
      </c>
      <c r="R60" s="27"/>
      <c r="S60" s="29" t="str">
        <f aca="false">G60&amp;IF(H60="","",CHAR(10)&amp;CHAR(10)&amp;"Criterios de aceptación:"&amp;CHAR(10)&amp;H60)</f>
        <v>Guardar puntaje_total y filas de resultado_dimension en la misma transacción que la finalización.
Criterios de aceptación:
• Si falla el cálculo no queda un intento FINALIZADO sin resultado.</v>
      </c>
    </row>
    <row r="61" customFormat="false" ht="27.75" hidden="false" customHeight="true" outlineLevel="0" collapsed="false">
      <c r="A61" s="26" t="n">
        <v>60</v>
      </c>
      <c r="B61" s="26" t="n">
        <v>57</v>
      </c>
      <c r="C61" s="27" t="s">
        <v>147</v>
      </c>
      <c r="D61" s="27" t="s">
        <v>82</v>
      </c>
      <c r="E61" s="27" t="s">
        <v>29</v>
      </c>
      <c r="F61" s="28" t="s">
        <v>338</v>
      </c>
      <c r="G61" s="27" t="s">
        <v>339</v>
      </c>
      <c r="H61" s="27" t="s">
        <v>248</v>
      </c>
      <c r="I61" s="27"/>
      <c r="J61" s="26" t="n">
        <v>2</v>
      </c>
      <c r="K61" s="26"/>
      <c r="L61" s="26" t="s">
        <v>311</v>
      </c>
      <c r="M61" s="26" t="s">
        <v>312</v>
      </c>
      <c r="N61" s="21" t="s">
        <v>133</v>
      </c>
      <c r="O61" s="27" t="s">
        <v>162</v>
      </c>
      <c r="P61" s="27" t="s">
        <v>55</v>
      </c>
      <c r="Q61" s="27" t="s">
        <v>205</v>
      </c>
      <c r="R61" s="27"/>
      <c r="S61" s="29" t="str">
        <f aca="false">G61&amp;IF(H61="","",CHAR(10)&amp;CHAR(10)&amp;"Criterios de aceptación:"&amp;CHAR(10)&amp;H61)</f>
        <v>Pruebas unitarias con los casos del criterio.
Criterios de aceptación:
• Pasan en CI.</v>
      </c>
    </row>
    <row r="62" customFormat="false" ht="79.5" hidden="false" customHeight="true" outlineLevel="0" collapsed="false">
      <c r="A62" s="20" t="n">
        <v>61</v>
      </c>
      <c r="B62" s="20"/>
      <c r="C62" s="9" t="s">
        <v>206</v>
      </c>
      <c r="D62" s="9" t="s">
        <v>82</v>
      </c>
      <c r="E62" s="9" t="s">
        <v>29</v>
      </c>
      <c r="F62" s="8" t="s">
        <v>340</v>
      </c>
      <c r="G62" s="9" t="s">
        <v>341</v>
      </c>
      <c r="H62" s="9" t="s">
        <v>342</v>
      </c>
      <c r="I62" s="9" t="s">
        <v>343</v>
      </c>
      <c r="J62" s="20"/>
      <c r="K62" s="20" t="n">
        <f aca="false">IF(COUNTIF($B$2:$B$150,A62)&gt;0,SUMIFS($J$2:$J$150,$B$2:$B$150,A62)+N(J62),J62)</f>
        <v>6</v>
      </c>
      <c r="L62" s="20" t="s">
        <v>311</v>
      </c>
      <c r="M62" s="20" t="s">
        <v>312</v>
      </c>
      <c r="N62" s="21" t="s">
        <v>133</v>
      </c>
      <c r="O62" s="9" t="s">
        <v>162</v>
      </c>
      <c r="P62" s="9" t="s">
        <v>59</v>
      </c>
      <c r="Q62" s="9" t="s">
        <v>146</v>
      </c>
      <c r="R62" s="9"/>
      <c r="S62" s="23" t="str">
        <f aca="false">G62&amp;IF(H62="","",CHAR(10)&amp;CHAR(10)&amp;"Criterios de aceptación:"&amp;CHAR(10)&amp;H62)</f>
        <v>Clasificar al estudiante (bajo / medio / alto) en total y por dimensión según umbrales acordados, para orientar la práctica adaptativa.
Criterios de aceptación:
• La categoría se asigna automáticamente al finalizar.
• Los umbrales se cambian por configuración, sin tocar código.
• Los umbrales usados están documentados en el informe.</v>
      </c>
    </row>
    <row r="63" customFormat="false" ht="42" hidden="false" customHeight="true" outlineLevel="0" collapsed="false">
      <c r="A63" s="26" t="n">
        <v>62</v>
      </c>
      <c r="B63" s="26" t="n">
        <v>61</v>
      </c>
      <c r="C63" s="27" t="s">
        <v>147</v>
      </c>
      <c r="D63" s="27" t="s">
        <v>82</v>
      </c>
      <c r="E63" s="27" t="s">
        <v>29</v>
      </c>
      <c r="F63" s="28" t="s">
        <v>344</v>
      </c>
      <c r="G63" s="27" t="s">
        <v>345</v>
      </c>
      <c r="H63" s="27" t="s">
        <v>346</v>
      </c>
      <c r="I63" s="27"/>
      <c r="J63" s="26" t="n">
        <v>1</v>
      </c>
      <c r="K63" s="26"/>
      <c r="L63" s="26" t="s">
        <v>311</v>
      </c>
      <c r="M63" s="26" t="s">
        <v>312</v>
      </c>
      <c r="N63" s="21" t="s">
        <v>133</v>
      </c>
      <c r="O63" s="27" t="s">
        <v>162</v>
      </c>
      <c r="P63" s="27" t="s">
        <v>59</v>
      </c>
      <c r="Q63" s="27" t="s">
        <v>299</v>
      </c>
      <c r="R63" s="27"/>
      <c r="S63" s="29" t="str">
        <f aca="false">G63&amp;IF(H63="","",CHAR(10)&amp;CHAR(10)&amp;"Criterios de aceptación:"&amp;CHAR(10)&amp;H63)</f>
        <v>Proponer cortes (ej. por porcentaje de aciertos) usando la distribución de los 185 resultados del diagnóstico aplicado; validar con la docente si es posible.
Criterios de aceptación:
• Umbrales escritos en la tarjeta con su justificación.</v>
      </c>
    </row>
    <row r="64" customFormat="false" ht="32.25" hidden="false" customHeight="true" outlineLevel="0" collapsed="false">
      <c r="A64" s="26" t="n">
        <v>63</v>
      </c>
      <c r="B64" s="26" t="n">
        <v>61</v>
      </c>
      <c r="C64" s="27" t="s">
        <v>147</v>
      </c>
      <c r="D64" s="27" t="s">
        <v>82</v>
      </c>
      <c r="E64" s="27" t="s">
        <v>29</v>
      </c>
      <c r="F64" s="28" t="s">
        <v>347</v>
      </c>
      <c r="G64" s="27" t="s">
        <v>348</v>
      </c>
      <c r="H64" s="27" t="s">
        <v>349</v>
      </c>
      <c r="I64" s="27"/>
      <c r="J64" s="26" t="n">
        <v>3</v>
      </c>
      <c r="K64" s="26"/>
      <c r="L64" s="26" t="s">
        <v>311</v>
      </c>
      <c r="M64" s="26" t="s">
        <v>312</v>
      </c>
      <c r="N64" s="21" t="s">
        <v>133</v>
      </c>
      <c r="O64" s="27" t="s">
        <v>162</v>
      </c>
      <c r="P64" s="27" t="s">
        <v>59</v>
      </c>
      <c r="Q64" s="27" t="s">
        <v>146</v>
      </c>
      <c r="R64" s="27"/>
      <c r="S64" s="29" t="str">
        <f aca="false">G64&amp;IF(H64="","",CHAR(10)&amp;CHAR(10)&amp;"Criterios de aceptación:"&amp;CHAR(10)&amp;H64)</f>
        <v>Umbrales en application.yml (app.diagnostico.umbrales) o en tabla; CategorizacionService puro y probado.
Criterios de aceptación:
• Cambiar un umbral cambia la categoría sin recompilar lógica.</v>
      </c>
    </row>
    <row r="65" customFormat="false" ht="29.25" hidden="false" customHeight="true" outlineLevel="0" collapsed="false">
      <c r="A65" s="26" t="n">
        <v>64</v>
      </c>
      <c r="B65" s="26" t="n">
        <v>61</v>
      </c>
      <c r="C65" s="27" t="s">
        <v>147</v>
      </c>
      <c r="D65" s="27" t="s">
        <v>82</v>
      </c>
      <c r="E65" s="27" t="s">
        <v>29</v>
      </c>
      <c r="F65" s="28" t="s">
        <v>350</v>
      </c>
      <c r="G65" s="27" t="s">
        <v>351</v>
      </c>
      <c r="H65" s="27" t="s">
        <v>352</v>
      </c>
      <c r="I65" s="27"/>
      <c r="J65" s="26" t="n">
        <v>1</v>
      </c>
      <c r="K65" s="26"/>
      <c r="L65" s="26" t="s">
        <v>311</v>
      </c>
      <c r="M65" s="26" t="s">
        <v>312</v>
      </c>
      <c r="N65" s="21" t="s">
        <v>133</v>
      </c>
      <c r="O65" s="27" t="s">
        <v>162</v>
      </c>
      <c r="P65" s="27" t="s">
        <v>59</v>
      </c>
      <c r="Q65" s="27" t="s">
        <v>146</v>
      </c>
      <c r="R65" s="27"/>
      <c r="S65" s="29" t="str">
        <f aca="false">G65&amp;IF(H65="","",CHAR(10)&amp;CHAR(10)&amp;"Criterios de aceptación:"&amp;CHAR(10)&amp;H65)</f>
        <v>Incluir categoría total y por dimensión en GET /api/diagnosticos/intentos/{id}/resultado.
Criterios de aceptación:
• El endpoint devuelve puntajes y categorías.</v>
      </c>
    </row>
    <row r="66" customFormat="false" ht="27.75" hidden="false" customHeight="true" outlineLevel="0" collapsed="false">
      <c r="A66" s="26" t="n">
        <v>65</v>
      </c>
      <c r="B66" s="26" t="n">
        <v>61</v>
      </c>
      <c r="C66" s="27" t="s">
        <v>147</v>
      </c>
      <c r="D66" s="27" t="s">
        <v>82</v>
      </c>
      <c r="E66" s="27" t="s">
        <v>29</v>
      </c>
      <c r="F66" s="28" t="s">
        <v>353</v>
      </c>
      <c r="G66" s="27" t="s">
        <v>354</v>
      </c>
      <c r="H66" s="27" t="s">
        <v>248</v>
      </c>
      <c r="I66" s="27"/>
      <c r="J66" s="26" t="n">
        <v>1</v>
      </c>
      <c r="K66" s="26"/>
      <c r="L66" s="26" t="s">
        <v>311</v>
      </c>
      <c r="M66" s="26" t="s">
        <v>312</v>
      </c>
      <c r="N66" s="21" t="s">
        <v>133</v>
      </c>
      <c r="O66" s="27" t="s">
        <v>162</v>
      </c>
      <c r="P66" s="27" t="s">
        <v>59</v>
      </c>
      <c r="Q66" s="27" t="s">
        <v>205</v>
      </c>
      <c r="R66" s="27"/>
      <c r="S66" s="29" t="str">
        <f aca="false">G66&amp;IF(H66="","",CHAR(10)&amp;CHAR(10)&amp;"Criterios de aceptación:"&amp;CHAR(10)&amp;H66)</f>
        <v>Casos en los bordes de cada umbral.
Criterios de aceptación:
• Pasan en CI.</v>
      </c>
    </row>
    <row r="67" customFormat="false" ht="112.5" hidden="false" customHeight="true" outlineLevel="0" collapsed="false">
      <c r="A67" s="20" t="n">
        <v>66</v>
      </c>
      <c r="B67" s="20"/>
      <c r="C67" s="9" t="s">
        <v>206</v>
      </c>
      <c r="D67" s="9" t="s">
        <v>82</v>
      </c>
      <c r="E67" s="9" t="s">
        <v>29</v>
      </c>
      <c r="F67" s="8" t="s">
        <v>355</v>
      </c>
      <c r="G67" s="9" t="s">
        <v>356</v>
      </c>
      <c r="H67" s="9" t="s">
        <v>357</v>
      </c>
      <c r="I67" s="9" t="s">
        <v>310</v>
      </c>
      <c r="J67" s="20"/>
      <c r="K67" s="20" t="n">
        <f aca="false">IF(COUNTIF($B$2:$B$150,A67)&gt;0,SUMIFS($J$2:$J$150,$B$2:$B$150,A67)+N(J67),J67)</f>
        <v>14</v>
      </c>
      <c r="L67" s="20" t="s">
        <v>311</v>
      </c>
      <c r="M67" s="20" t="s">
        <v>312</v>
      </c>
      <c r="N67" s="21" t="s">
        <v>133</v>
      </c>
      <c r="O67" s="9" t="s">
        <v>162</v>
      </c>
      <c r="P67" s="9" t="s">
        <v>57</v>
      </c>
      <c r="Q67" s="9" t="s">
        <v>171</v>
      </c>
      <c r="R67" s="9"/>
      <c r="S67" s="23" t="str">
        <f aca="false">G67&amp;IF(H67="","",CHAR(10)&amp;CHAR(10)&amp;"Criterios de aceptación:"&amp;CHAR(10)&amp;H67)</f>
        <v>Como estudiante quiero responder la prueba ítem por ítem, ver mi avance y el tiempo restante, sin perder respuestas si se cae la conexión.
Criterios de aceptación:
• Se muestran los 24 ítems uno a uno con su notación matemática correcta.
• Cada respuesta se guarda al seleccionarla (indicador "guardado").
• Al recargar la página se retoma en el ítem donde iba.
• Se puede responder solo con teclado y funciona en móvil.</v>
      </c>
    </row>
    <row r="68" customFormat="false" ht="33.75" hidden="false" customHeight="true" outlineLevel="0" collapsed="false">
      <c r="A68" s="26" t="n">
        <v>67</v>
      </c>
      <c r="B68" s="26" t="n">
        <v>66</v>
      </c>
      <c r="C68" s="27" t="s">
        <v>147</v>
      </c>
      <c r="D68" s="27" t="s">
        <v>82</v>
      </c>
      <c r="E68" s="27" t="s">
        <v>29</v>
      </c>
      <c r="F68" s="28" t="s">
        <v>358</v>
      </c>
      <c r="G68" s="27" t="s">
        <v>359</v>
      </c>
      <c r="H68" s="27" t="s">
        <v>360</v>
      </c>
      <c r="I68" s="27"/>
      <c r="J68" s="26" t="n">
        <v>2</v>
      </c>
      <c r="K68" s="26"/>
      <c r="L68" s="26" t="s">
        <v>311</v>
      </c>
      <c r="M68" s="26" t="s">
        <v>312</v>
      </c>
      <c r="N68" s="21" t="s">
        <v>133</v>
      </c>
      <c r="O68" s="27" t="s">
        <v>162</v>
      </c>
      <c r="P68" s="27" t="s">
        <v>57</v>
      </c>
      <c r="Q68" s="27" t="s">
        <v>171</v>
      </c>
      <c r="R68" s="27"/>
      <c r="S68" s="29" t="str">
        <f aca="false">G68&amp;IF(H68="","",CHAR(10)&amp;CHAR(10)&amp;"Criterios de aceptación:"&amp;CHAR(10)&amp;H68)</f>
        <v>api/diagnosticoApi.js con iniciar, obtener, responder, finalizar y resultado (con datos simulados mientras tanto).
Criterios de aceptación:
• Mismo contrato que el backend.</v>
      </c>
    </row>
    <row r="69" customFormat="false" ht="29.25" hidden="false" customHeight="true" outlineLevel="0" collapsed="false">
      <c r="A69" s="26" t="n">
        <v>68</v>
      </c>
      <c r="B69" s="26" t="n">
        <v>66</v>
      </c>
      <c r="C69" s="27" t="s">
        <v>147</v>
      </c>
      <c r="D69" s="27" t="s">
        <v>82</v>
      </c>
      <c r="E69" s="27" t="s">
        <v>29</v>
      </c>
      <c r="F69" s="28" t="s">
        <v>361</v>
      </c>
      <c r="G69" s="27" t="s">
        <v>362</v>
      </c>
      <c r="H69" s="27" t="s">
        <v>363</v>
      </c>
      <c r="I69" s="27"/>
      <c r="J69" s="26" t="n">
        <v>2</v>
      </c>
      <c r="K69" s="26"/>
      <c r="L69" s="26" t="s">
        <v>311</v>
      </c>
      <c r="M69" s="26" t="s">
        <v>312</v>
      </c>
      <c r="N69" s="21" t="s">
        <v>133</v>
      </c>
      <c r="O69" s="27" t="s">
        <v>162</v>
      </c>
      <c r="P69" s="27" t="s">
        <v>57</v>
      </c>
      <c r="Q69" s="27" t="s">
        <v>171</v>
      </c>
      <c r="R69" s="27"/>
      <c r="S69" s="29" t="str">
        <f aca="false">G69&amp;IF(H69="","",CHAR(10)&amp;CHAR(10)&amp;"Criterios de aceptación:"&amp;CHAR(10)&amp;H69)</f>
        <v>Explica número de ítems, tiempo y dimensiones; botón Iniciar o Continuar según el estado.
Criterios de aceptación:
• Si hay un intento EN_CURSO muestra "Continuar".</v>
      </c>
    </row>
    <row r="70" customFormat="false" ht="37.5" hidden="false" customHeight="true" outlineLevel="0" collapsed="false">
      <c r="A70" s="26" t="n">
        <v>69</v>
      </c>
      <c r="B70" s="26" t="n">
        <v>66</v>
      </c>
      <c r="C70" s="27" t="s">
        <v>147</v>
      </c>
      <c r="D70" s="27" t="s">
        <v>82</v>
      </c>
      <c r="E70" s="27" t="s">
        <v>29</v>
      </c>
      <c r="F70" s="28" t="s">
        <v>364</v>
      </c>
      <c r="G70" s="27" t="s">
        <v>365</v>
      </c>
      <c r="H70" s="27" t="s">
        <v>366</v>
      </c>
      <c r="I70" s="27"/>
      <c r="J70" s="26" t="n">
        <v>4</v>
      </c>
      <c r="K70" s="26"/>
      <c r="L70" s="26" t="s">
        <v>311</v>
      </c>
      <c r="M70" s="26" t="s">
        <v>312</v>
      </c>
      <c r="N70" s="21" t="s">
        <v>133</v>
      </c>
      <c r="O70" s="27" t="s">
        <v>162</v>
      </c>
      <c r="P70" s="27" t="s">
        <v>57</v>
      </c>
      <c r="Q70" s="27" t="s">
        <v>171</v>
      </c>
      <c r="R70" s="27"/>
      <c r="S70" s="29" t="str">
        <f aca="false">G70&amp;IF(H70="","",CHAR(10)&amp;CHAR(10)&amp;"Criterios de aceptación:"&amp;CHAR(10)&amp;H70)</f>
        <v>Enunciado con MathText, opciones como RadioGroup de MUI (labels asociados, navegación con flechas), estado guardando/guardado/error.
Criterios de aceptación:
• Lector de pantalla anuncia enunciado y opciones.</v>
      </c>
    </row>
    <row r="71" customFormat="false" ht="33.75" hidden="false" customHeight="true" outlineLevel="0" collapsed="false">
      <c r="A71" s="26" t="n">
        <v>70</v>
      </c>
      <c r="B71" s="26" t="n">
        <v>66</v>
      </c>
      <c r="C71" s="27" t="s">
        <v>147</v>
      </c>
      <c r="D71" s="27" t="s">
        <v>82</v>
      </c>
      <c r="E71" s="27" t="s">
        <v>29</v>
      </c>
      <c r="F71" s="28" t="s">
        <v>367</v>
      </c>
      <c r="G71" s="27" t="s">
        <v>368</v>
      </c>
      <c r="H71" s="27" t="s">
        <v>369</v>
      </c>
      <c r="I71" s="27"/>
      <c r="J71" s="26" t="n">
        <v>2</v>
      </c>
      <c r="K71" s="26"/>
      <c r="L71" s="26" t="s">
        <v>311</v>
      </c>
      <c r="M71" s="26" t="s">
        <v>312</v>
      </c>
      <c r="N71" s="21" t="s">
        <v>133</v>
      </c>
      <c r="O71" s="27" t="s">
        <v>162</v>
      </c>
      <c r="P71" s="27" t="s">
        <v>57</v>
      </c>
      <c r="Q71" s="27" t="s">
        <v>171</v>
      </c>
      <c r="R71" s="27"/>
      <c r="S71" s="29" t="str">
        <f aca="false">G71&amp;IF(H71="","",CHAR(10)&amp;CHAR(10)&amp;"Criterios de aceptación:"&amp;CHAR(10)&amp;H71)</f>
        <v>Tiempo restante (sincronizado con el servidor al cargar), aviso a los 5 minutos, progreso x/24 con aria-valuenow.
Criterios de aceptación:
• Al llegar a 0 se finaliza la prueba.</v>
      </c>
    </row>
    <row r="72" customFormat="false" ht="35.25" hidden="false" customHeight="true" outlineLevel="0" collapsed="false">
      <c r="A72" s="26" t="n">
        <v>71</v>
      </c>
      <c r="B72" s="26" t="n">
        <v>66</v>
      </c>
      <c r="C72" s="27" t="s">
        <v>147</v>
      </c>
      <c r="D72" s="27" t="s">
        <v>82</v>
      </c>
      <c r="E72" s="27" t="s">
        <v>29</v>
      </c>
      <c r="F72" s="28" t="s">
        <v>370</v>
      </c>
      <c r="G72" s="27" t="s">
        <v>371</v>
      </c>
      <c r="H72" s="27" t="s">
        <v>372</v>
      </c>
      <c r="I72" s="27"/>
      <c r="J72" s="26" t="n">
        <v>3</v>
      </c>
      <c r="K72" s="26"/>
      <c r="L72" s="26" t="s">
        <v>311</v>
      </c>
      <c r="M72" s="26" t="s">
        <v>312</v>
      </c>
      <c r="N72" s="21" t="s">
        <v>133</v>
      </c>
      <c r="O72" s="27" t="s">
        <v>162</v>
      </c>
      <c r="P72" s="27" t="s">
        <v>57</v>
      </c>
      <c r="Q72" s="27" t="s">
        <v>171</v>
      </c>
      <c r="R72" s="27"/>
      <c r="S72" s="29" t="str">
        <f aca="false">G72&amp;IF(H72="","",CHAR(10)&amp;CHAR(10)&amp;"Criterios de aceptación:"&amp;CHAR(10)&amp;H72)</f>
        <v>Anterior/Siguiente, mapa de ítems respondidos, reanudar en el primer ítem sin responder, reintento si falla el guardado.
Criterios de aceptación:
• Al recargar se conserva el avance.</v>
      </c>
    </row>
    <row r="73" customFormat="false" ht="27.75" hidden="false" customHeight="true" outlineLevel="0" collapsed="false">
      <c r="A73" s="26" t="n">
        <v>72</v>
      </c>
      <c r="B73" s="26" t="n">
        <v>66</v>
      </c>
      <c r="C73" s="27" t="s">
        <v>147</v>
      </c>
      <c r="D73" s="27" t="s">
        <v>82</v>
      </c>
      <c r="E73" s="27" t="s">
        <v>29</v>
      </c>
      <c r="F73" s="28" t="s">
        <v>373</v>
      </c>
      <c r="G73" s="27" t="s">
        <v>374</v>
      </c>
      <c r="H73" s="27" t="s">
        <v>375</v>
      </c>
      <c r="I73" s="27"/>
      <c r="J73" s="26" t="n">
        <v>1</v>
      </c>
      <c r="K73" s="26"/>
      <c r="L73" s="26" t="s">
        <v>311</v>
      </c>
      <c r="M73" s="26" t="s">
        <v>312</v>
      </c>
      <c r="N73" s="21" t="s">
        <v>133</v>
      </c>
      <c r="O73" s="27" t="s">
        <v>162</v>
      </c>
      <c r="P73" s="27" t="s">
        <v>57</v>
      </c>
      <c r="Q73" s="27" t="s">
        <v>171</v>
      </c>
      <c r="R73" s="27"/>
      <c r="S73" s="29" t="str">
        <f aca="false">G73&amp;IF(H73="","",CHAR(10)&amp;CHAR(10)&amp;"Criterios de aceptación:"&amp;CHAR(10)&amp;H73)</f>
        <v>Diálogo que avisa cuántos ítems quedan sin responder antes de finalizar.
Criterios de aceptación:
• No se puede finalizar por error con un solo clic.</v>
      </c>
    </row>
    <row r="74" customFormat="false" ht="84" hidden="false" customHeight="true" outlineLevel="0" collapsed="false">
      <c r="A74" s="20" t="n">
        <v>73</v>
      </c>
      <c r="B74" s="20"/>
      <c r="C74" s="9" t="s">
        <v>126</v>
      </c>
      <c r="D74" s="9" t="s">
        <v>82</v>
      </c>
      <c r="E74" s="9" t="s">
        <v>29</v>
      </c>
      <c r="F74" s="8" t="s">
        <v>376</v>
      </c>
      <c r="G74" s="9" t="s">
        <v>377</v>
      </c>
      <c r="H74" s="9" t="s">
        <v>378</v>
      </c>
      <c r="I74" s="9" t="s">
        <v>379</v>
      </c>
      <c r="J74" s="20"/>
      <c r="K74" s="20" t="n">
        <f aca="false">IF(COUNTIF($B$2:$B$150,A74)&gt;0,SUMIFS($J$2:$J$150,$B$2:$B$150,A74)+N(J74),J74)</f>
        <v>8</v>
      </c>
      <c r="L74" s="20" t="s">
        <v>311</v>
      </c>
      <c r="M74" s="20" t="s">
        <v>312</v>
      </c>
      <c r="N74" s="24" t="s">
        <v>139</v>
      </c>
      <c r="O74" s="9" t="s">
        <v>162</v>
      </c>
      <c r="P74" s="9" t="s">
        <v>57</v>
      </c>
      <c r="Q74" s="9" t="s">
        <v>171</v>
      </c>
      <c r="R74" s="9"/>
      <c r="S74" s="23" t="str">
        <f aca="false">G74&amp;IF(H74="","",CHAR(10)&amp;CHAR(10)&amp;"Criterios de aceptación:"&amp;CHAR(10)&amp;H74)</f>
        <v>Vista donde el estudiante consulta su puntaje total, su categoría y las dimensiones en las que necesita refuerzo, con acceso directo a la práctica.
Criterios de aceptación:
• Muestra puntaje total, categoría y porcentaje por dimensión.
• El gráfico tiene alternativa en texto o tabla para lectores de pantalla.
• El botón "Empezar a practicar" lleva a la práctica.</v>
      </c>
    </row>
    <row r="75" customFormat="false" ht="27.75" hidden="false" customHeight="true" outlineLevel="0" collapsed="false">
      <c r="A75" s="26" t="n">
        <v>74</v>
      </c>
      <c r="B75" s="26" t="n">
        <v>73</v>
      </c>
      <c r="C75" s="27" t="s">
        <v>147</v>
      </c>
      <c r="D75" s="27" t="s">
        <v>82</v>
      </c>
      <c r="E75" s="27" t="s">
        <v>29</v>
      </c>
      <c r="F75" s="28" t="s">
        <v>380</v>
      </c>
      <c r="G75" s="27" t="s">
        <v>381</v>
      </c>
      <c r="H75" s="27" t="s">
        <v>382</v>
      </c>
      <c r="I75" s="27"/>
      <c r="J75" s="26" t="n">
        <v>3</v>
      </c>
      <c r="K75" s="26"/>
      <c r="L75" s="26" t="s">
        <v>311</v>
      </c>
      <c r="M75" s="26" t="s">
        <v>312</v>
      </c>
      <c r="N75" s="24" t="s">
        <v>139</v>
      </c>
      <c r="O75" s="27" t="s">
        <v>162</v>
      </c>
      <c r="P75" s="27" t="s">
        <v>57</v>
      </c>
      <c r="Q75" s="27" t="s">
        <v>171</v>
      </c>
      <c r="R75" s="27"/>
      <c r="S75" s="29" t="str">
        <f aca="false">G75&amp;IF(H75="","",CHAR(10)&amp;CHAR(10)&amp;"Criterios de aceptación:"&amp;CHAR(10)&amp;H75)</f>
        <v>Tarjetas con puntaje x/24 y categoría con color e icono (no solo color).
Criterios de aceptación:
• Legible en móvil.</v>
      </c>
    </row>
    <row r="76" customFormat="false" ht="27.75" hidden="false" customHeight="true" outlineLevel="0" collapsed="false">
      <c r="A76" s="26" t="n">
        <v>75</v>
      </c>
      <c r="B76" s="26" t="n">
        <v>73</v>
      </c>
      <c r="C76" s="27" t="s">
        <v>147</v>
      </c>
      <c r="D76" s="27" t="s">
        <v>82</v>
      </c>
      <c r="E76" s="27" t="s">
        <v>29</v>
      </c>
      <c r="F76" s="28" t="s">
        <v>383</v>
      </c>
      <c r="G76" s="27" t="s">
        <v>384</v>
      </c>
      <c r="H76" s="27" t="s">
        <v>385</v>
      </c>
      <c r="I76" s="27"/>
      <c r="J76" s="26" t="n">
        <v>3</v>
      </c>
      <c r="K76" s="26"/>
      <c r="L76" s="26" t="s">
        <v>311</v>
      </c>
      <c r="M76" s="26" t="s">
        <v>312</v>
      </c>
      <c r="N76" s="24" t="s">
        <v>139</v>
      </c>
      <c r="O76" s="27" t="s">
        <v>162</v>
      </c>
      <c r="P76" s="27" t="s">
        <v>57</v>
      </c>
      <c r="Q76" s="27" t="s">
        <v>171</v>
      </c>
      <c r="R76" s="27"/>
      <c r="S76" s="29" t="str">
        <f aca="false">G76&amp;IF(H76="","",CHAR(10)&amp;CHAR(10)&amp;"Criterios de aceptación:"&amp;CHAR(10)&amp;H76)</f>
        <v>Barras con recharts por dimensión + tabla accesible equivalente.
Criterios de aceptación:
• Coincide con los datos del endpoint.</v>
      </c>
    </row>
    <row r="77" customFormat="false" ht="27.75" hidden="false" customHeight="true" outlineLevel="0" collapsed="false">
      <c r="A77" s="26" t="n">
        <v>76</v>
      </c>
      <c r="B77" s="26" t="n">
        <v>73</v>
      </c>
      <c r="C77" s="27" t="s">
        <v>147</v>
      </c>
      <c r="D77" s="27" t="s">
        <v>82</v>
      </c>
      <c r="E77" s="27" t="s">
        <v>29</v>
      </c>
      <c r="F77" s="28" t="s">
        <v>386</v>
      </c>
      <c r="G77" s="27" t="s">
        <v>387</v>
      </c>
      <c r="H77" s="27" t="s">
        <v>388</v>
      </c>
      <c r="I77" s="27"/>
      <c r="J77" s="26" t="n">
        <v>2</v>
      </c>
      <c r="K77" s="26"/>
      <c r="L77" s="26" t="s">
        <v>311</v>
      </c>
      <c r="M77" s="26" t="s">
        <v>312</v>
      </c>
      <c r="N77" s="24" t="s">
        <v>139</v>
      </c>
      <c r="O77" s="27" t="s">
        <v>162</v>
      </c>
      <c r="P77" s="27" t="s">
        <v>57</v>
      </c>
      <c r="Q77" s="27" t="s">
        <v>171</v>
      </c>
      <c r="R77" s="27"/>
      <c r="S77" s="29" t="str">
        <f aca="false">G77&amp;IF(H77="","",CHAR(10)&amp;CHAR(10)&amp;"Criterios de aceptación:"&amp;CHAR(10)&amp;H77)</f>
        <v>Texto según las dimensiones con categoría baja y botón a /estudiante/practica.
Criterios de aceptación:
• Aparecen las dimensiones a reforzar.</v>
      </c>
    </row>
    <row r="78" customFormat="false" ht="94.5" hidden="false" customHeight="true" outlineLevel="0" collapsed="false">
      <c r="A78" s="20" t="n">
        <v>77</v>
      </c>
      <c r="B78" s="20"/>
      <c r="C78" s="9" t="s">
        <v>126</v>
      </c>
      <c r="D78" s="9" t="s">
        <v>82</v>
      </c>
      <c r="E78" s="9" t="s">
        <v>29</v>
      </c>
      <c r="F78" s="8" t="s">
        <v>389</v>
      </c>
      <c r="G78" s="9" t="s">
        <v>390</v>
      </c>
      <c r="H78" s="9" t="s">
        <v>391</v>
      </c>
      <c r="I78" s="9" t="s">
        <v>392</v>
      </c>
      <c r="J78" s="20" t="n">
        <v>3</v>
      </c>
      <c r="K78" s="20" t="n">
        <f aca="false">IF(COUNTIF($B$2:$B$150,A78)&gt;0,SUMIFS($J$2:$J$150,$B$2:$B$150,A78)+N(J78),J78)</f>
        <v>3</v>
      </c>
      <c r="L78" s="20" t="s">
        <v>311</v>
      </c>
      <c r="M78" s="20" t="s">
        <v>312</v>
      </c>
      <c r="N78" s="21" t="s">
        <v>133</v>
      </c>
      <c r="O78" s="9" t="s">
        <v>162</v>
      </c>
      <c r="P78" s="9" t="s">
        <v>57</v>
      </c>
      <c r="Q78" s="9" t="s">
        <v>171</v>
      </c>
      <c r="R78" s="25" t="s">
        <v>141</v>
      </c>
      <c r="S78" s="23" t="str">
        <f aca="false">G78&amp;IF(H78="","",CHAR(10)&amp;CHAR(10)&amp;"Criterios de aceptación:"&amp;CHAR(10)&amp;H78)</f>
        <v>Componente reutilizable (components/MathText.jsx) que renderiza texto mixto con expresiones LaTeX entre $…$ usando KaTeX, para ítems, ejercicios y retroalimentación.
Criterios de aceptación:
• Renderiza fracciones, potencias, raíces y funciones de los 24 ítems sin errores.
• Una expresión mal escrita muestra el texto original en lugar de romper la página.
• Genera salida accesible (MathML de KaTeX) para lectores de pantalla.</v>
      </c>
    </row>
    <row r="79" customFormat="false" ht="54" hidden="false" customHeight="true" outlineLevel="0" collapsed="false">
      <c r="A79" s="20" t="n">
        <v>78</v>
      </c>
      <c r="B79" s="20"/>
      <c r="C79" s="9" t="s">
        <v>126</v>
      </c>
      <c r="D79" s="9" t="s">
        <v>82</v>
      </c>
      <c r="E79" s="9" t="s">
        <v>29</v>
      </c>
      <c r="F79" s="8" t="s">
        <v>393</v>
      </c>
      <c r="G79" s="9" t="s">
        <v>394</v>
      </c>
      <c r="H79" s="9" t="s">
        <v>395</v>
      </c>
      <c r="I79" s="9" t="s">
        <v>130</v>
      </c>
      <c r="J79" s="20"/>
      <c r="K79" s="20" t="n">
        <f aca="false">IF(COUNTIF($B$2:$B$150,A79)&gt;0,SUMIFS($J$2:$J$150,$B$2:$B$150,A79)+N(J79),J79)</f>
        <v>8</v>
      </c>
      <c r="L79" s="20" t="s">
        <v>311</v>
      </c>
      <c r="M79" s="20" t="s">
        <v>312</v>
      </c>
      <c r="N79" s="24" t="s">
        <v>139</v>
      </c>
      <c r="O79" s="9" t="s">
        <v>162</v>
      </c>
      <c r="P79" s="9" t="s">
        <v>59</v>
      </c>
      <c r="Q79" s="9" t="s">
        <v>396</v>
      </c>
      <c r="R79" s="9"/>
      <c r="S79" s="23" t="str">
        <f aca="false">G79&amp;IF(H79="","",CHAR(10)&amp;CHAR(10)&amp;"Criterios de aceptación:"&amp;CHAR(10)&amp;H79)</f>
        <v>Pruebas automatizadas del flujo completo del diagnóstico y verificación manual de sus criterios de aceptación.
Criterios de aceptación:
• Cobertura de las clases de servicio del diagnóstico ≥ 70 %.
• CA-02, CA-03 y CA-04 verificados y marcados en la matriz.</v>
      </c>
    </row>
    <row r="80" customFormat="false" ht="30" hidden="false" customHeight="true" outlineLevel="0" collapsed="false">
      <c r="A80" s="26" t="n">
        <v>79</v>
      </c>
      <c r="B80" s="26" t="n">
        <v>78</v>
      </c>
      <c r="C80" s="27" t="s">
        <v>147</v>
      </c>
      <c r="D80" s="27" t="s">
        <v>82</v>
      </c>
      <c r="E80" s="27" t="s">
        <v>29</v>
      </c>
      <c r="F80" s="28" t="s">
        <v>397</v>
      </c>
      <c r="G80" s="27" t="s">
        <v>398</v>
      </c>
      <c r="H80" s="27" t="s">
        <v>399</v>
      </c>
      <c r="I80" s="27"/>
      <c r="J80" s="26" t="n">
        <v>4</v>
      </c>
      <c r="K80" s="26"/>
      <c r="L80" s="26" t="s">
        <v>311</v>
      </c>
      <c r="M80" s="26" t="s">
        <v>312</v>
      </c>
      <c r="N80" s="24" t="s">
        <v>139</v>
      </c>
      <c r="O80" s="27" t="s">
        <v>162</v>
      </c>
      <c r="P80" s="27" t="s">
        <v>59</v>
      </c>
      <c r="Q80" s="27" t="s">
        <v>400</v>
      </c>
      <c r="R80" s="27"/>
      <c r="S80" s="29" t="str">
        <f aca="false">G80&amp;IF(H80="","",CHAR(10)&amp;CHAR(10)&amp;"Criterios de aceptación:"&amp;CHAR(10)&amp;H80)</f>
        <v>Testcontainers + MockMvc: login estudiante → iniciar → responder 24 → finalizar → resultado.
Criterios de aceptación:
• Pasa en CI.</v>
      </c>
    </row>
    <row r="81" customFormat="false" ht="27.75" hidden="false" customHeight="true" outlineLevel="0" collapsed="false">
      <c r="A81" s="26" t="n">
        <v>80</v>
      </c>
      <c r="B81" s="26" t="n">
        <v>78</v>
      </c>
      <c r="C81" s="27" t="s">
        <v>147</v>
      </c>
      <c r="D81" s="27" t="s">
        <v>82</v>
      </c>
      <c r="E81" s="27" t="s">
        <v>29</v>
      </c>
      <c r="F81" s="28" t="s">
        <v>401</v>
      </c>
      <c r="G81" s="27" t="s">
        <v>402</v>
      </c>
      <c r="H81" s="27" t="s">
        <v>403</v>
      </c>
      <c r="I81" s="27"/>
      <c r="J81" s="26" t="n">
        <v>2</v>
      </c>
      <c r="K81" s="26"/>
      <c r="L81" s="26" t="s">
        <v>311</v>
      </c>
      <c r="M81" s="26" t="s">
        <v>312</v>
      </c>
      <c r="N81" s="24" t="s">
        <v>139</v>
      </c>
      <c r="O81" s="27" t="s">
        <v>162</v>
      </c>
      <c r="P81" s="27" t="s">
        <v>59</v>
      </c>
      <c r="Q81" s="27" t="s">
        <v>396</v>
      </c>
      <c r="R81" s="27"/>
      <c r="S81" s="29" t="str">
        <f aca="false">G81&amp;IF(H81="","",CHAR(10)&amp;CHAR(10)&amp;"Criterios de aceptación:"&amp;CHAR(10)&amp;H81)</f>
        <v>Intento vencido, intento ajeno, respuesta a ítem inexistente, finalizar dos veces.
Criterios de aceptación:
• Cada caso devuelve el código esperado.</v>
      </c>
    </row>
    <row r="82" customFormat="false" ht="27.75" hidden="false" customHeight="true" outlineLevel="0" collapsed="false">
      <c r="A82" s="26" t="n">
        <v>81</v>
      </c>
      <c r="B82" s="26" t="n">
        <v>78</v>
      </c>
      <c r="C82" s="27" t="s">
        <v>147</v>
      </c>
      <c r="D82" s="27" t="s">
        <v>82</v>
      </c>
      <c r="E82" s="27" t="s">
        <v>29</v>
      </c>
      <c r="F82" s="28" t="s">
        <v>404</v>
      </c>
      <c r="G82" s="27" t="s">
        <v>405</v>
      </c>
      <c r="H82" s="27" t="s">
        <v>406</v>
      </c>
      <c r="I82" s="27"/>
      <c r="J82" s="26" t="n">
        <v>2</v>
      </c>
      <c r="K82" s="26"/>
      <c r="L82" s="26" t="s">
        <v>311</v>
      </c>
      <c r="M82" s="26" t="s">
        <v>312</v>
      </c>
      <c r="N82" s="24" t="s">
        <v>139</v>
      </c>
      <c r="O82" s="27" t="s">
        <v>162</v>
      </c>
      <c r="P82" s="27" t="s">
        <v>59</v>
      </c>
      <c r="Q82" s="27" t="s">
        <v>396</v>
      </c>
      <c r="R82" s="27"/>
      <c r="S82" s="29" t="str">
        <f aca="false">G82&amp;IF(H82="","",CHAR(10)&amp;CHAR(10)&amp;"Criterios de aceptación:"&amp;CHAR(10)&amp;H82)</f>
        <v>Ejecutar en staging con el usuario de prueba y dejar evidencia (capturas).
Criterios de aceptación:
• Evidencia adjunta en la tarjeta.</v>
      </c>
    </row>
    <row r="83" customFormat="false" ht="89.25" hidden="false" customHeight="true" outlineLevel="0" collapsed="false">
      <c r="A83" s="20" t="n">
        <v>82</v>
      </c>
      <c r="B83" s="20"/>
      <c r="C83" s="9" t="s">
        <v>126</v>
      </c>
      <c r="D83" s="9" t="s">
        <v>87</v>
      </c>
      <c r="E83" s="9" t="s">
        <v>29</v>
      </c>
      <c r="F83" s="8" t="s">
        <v>407</v>
      </c>
      <c r="G83" s="9" t="s">
        <v>408</v>
      </c>
      <c r="H83" s="9" t="s">
        <v>409</v>
      </c>
      <c r="I83" s="9" t="s">
        <v>410</v>
      </c>
      <c r="J83" s="20"/>
      <c r="K83" s="20" t="n">
        <f aca="false">IF(COUNTIF($B$2:$B$150,A83)&gt;0,SUMIFS($J$2:$J$150,$B$2:$B$150,A83)+N(J83),J83)</f>
        <v>8</v>
      </c>
      <c r="L83" s="20" t="s">
        <v>311</v>
      </c>
      <c r="M83" s="20" t="s">
        <v>312</v>
      </c>
      <c r="N83" s="21" t="s">
        <v>133</v>
      </c>
      <c r="O83" s="9" t="s">
        <v>162</v>
      </c>
      <c r="P83" s="9" t="s">
        <v>59</v>
      </c>
      <c r="Q83" s="9" t="s">
        <v>299</v>
      </c>
      <c r="R83" s="9"/>
      <c r="S83" s="23" t="str">
        <f aca="false">G83&amp;IF(H83="","",CHAR(10)&amp;CHAR(10)&amp;"Criterios de aceptación:"&amp;CHAR(10)&amp;H83)</f>
        <v>Catálogo de ejercicios de práctica por dimensión (algebraica, lógica, funcional) y nivel (1 básico, 2 intermedio, 3 avanzado), con su retroalimentación, listo para cargarse a la base.
Criterios de aceptación:
• Al menos 5 ejercicios por combinación dimensión × nivel (45 en total) para que el motor tenga variedad.
• Cada ejercicio tiene respuesta correcta, pista y explicación.
• Los criterios de nivel están documentados.</v>
      </c>
    </row>
    <row r="84" customFormat="false" ht="37.5" hidden="false" customHeight="true" outlineLevel="0" collapsed="false">
      <c r="A84" s="26" t="n">
        <v>83</v>
      </c>
      <c r="B84" s="26" t="n">
        <v>82</v>
      </c>
      <c r="C84" s="27" t="s">
        <v>147</v>
      </c>
      <c r="D84" s="27" t="s">
        <v>87</v>
      </c>
      <c r="E84" s="27" t="s">
        <v>29</v>
      </c>
      <c r="F84" s="28" t="s">
        <v>411</v>
      </c>
      <c r="G84" s="27" t="s">
        <v>412</v>
      </c>
      <c r="H84" s="27" t="s">
        <v>413</v>
      </c>
      <c r="I84" s="27"/>
      <c r="J84" s="26" t="n">
        <v>1</v>
      </c>
      <c r="K84" s="26"/>
      <c r="L84" s="26" t="s">
        <v>311</v>
      </c>
      <c r="M84" s="26" t="s">
        <v>312</v>
      </c>
      <c r="N84" s="21" t="s">
        <v>133</v>
      </c>
      <c r="O84" s="27" t="s">
        <v>162</v>
      </c>
      <c r="P84" s="27" t="s">
        <v>59</v>
      </c>
      <c r="Q84" s="27" t="s">
        <v>299</v>
      </c>
      <c r="R84" s="27"/>
      <c r="S84" s="29" t="str">
        <f aca="false">G84&amp;IF(H84="","",CHAR(10)&amp;CHAR(10)&amp;"Criterios de aceptación:"&amp;CHAR(10)&amp;H84)</f>
        <v>Columnas: codigo, dimension, nivel, tipo (OPCION_MULTIPLE/NUMERICA), enunciado, opciones, respuesta, pista, explicacion, error_comun.
Criterios de aceptación:
• Plantilla revisada por Juan David (coincide con el modelo).</v>
      </c>
    </row>
    <row r="85" customFormat="false" ht="28.5" hidden="false" customHeight="true" outlineLevel="0" collapsed="false">
      <c r="A85" s="26" t="n">
        <v>84</v>
      </c>
      <c r="B85" s="26" t="n">
        <v>82</v>
      </c>
      <c r="C85" s="27" t="s">
        <v>147</v>
      </c>
      <c r="D85" s="27" t="s">
        <v>87</v>
      </c>
      <c r="E85" s="27" t="s">
        <v>29</v>
      </c>
      <c r="F85" s="28" t="s">
        <v>414</v>
      </c>
      <c r="G85" s="27" t="s">
        <v>415</v>
      </c>
      <c r="H85" s="27" t="s">
        <v>416</v>
      </c>
      <c r="I85" s="27"/>
      <c r="J85" s="26" t="n">
        <v>2</v>
      </c>
      <c r="K85" s="26"/>
      <c r="L85" s="26" t="s">
        <v>311</v>
      </c>
      <c r="M85" s="26" t="s">
        <v>312</v>
      </c>
      <c r="N85" s="21" t="s">
        <v>133</v>
      </c>
      <c r="O85" s="27" t="s">
        <v>162</v>
      </c>
      <c r="P85" s="27" t="s">
        <v>59</v>
      </c>
      <c r="Q85" s="27" t="s">
        <v>299</v>
      </c>
      <c r="R85" s="27"/>
      <c r="S85" s="29" t="str">
        <f aca="false">G85&amp;IF(H85="","",CHAR(10)&amp;CHAR(10)&amp;"Criterios de aceptación:"&amp;CHAR(10)&amp;H85)</f>
        <v>Definir qué hace a un ejercicio nivel 1, 2 o 3 (pasos, conceptos previos) con ejemplos.
Criterios de aceptación:
• Documento corto en docs/.</v>
      </c>
    </row>
    <row r="86" customFormat="false" ht="27.75" hidden="false" customHeight="true" outlineLevel="0" collapsed="false">
      <c r="A86" s="26" t="n">
        <v>85</v>
      </c>
      <c r="B86" s="26" t="n">
        <v>82</v>
      </c>
      <c r="C86" s="27" t="s">
        <v>147</v>
      </c>
      <c r="D86" s="27" t="s">
        <v>87</v>
      </c>
      <c r="E86" s="27" t="s">
        <v>29</v>
      </c>
      <c r="F86" s="28" t="s">
        <v>417</v>
      </c>
      <c r="G86" s="27" t="s">
        <v>418</v>
      </c>
      <c r="H86" s="27" t="s">
        <v>419</v>
      </c>
      <c r="I86" s="27"/>
      <c r="J86" s="26" t="n">
        <v>4</v>
      </c>
      <c r="K86" s="26"/>
      <c r="L86" s="26" t="s">
        <v>311</v>
      </c>
      <c r="M86" s="26" t="s">
        <v>312</v>
      </c>
      <c r="N86" s="21" t="s">
        <v>133</v>
      </c>
      <c r="O86" s="27" t="s">
        <v>162</v>
      </c>
      <c r="P86" s="27" t="s">
        <v>59</v>
      </c>
      <c r="Q86" s="27" t="s">
        <v>299</v>
      </c>
      <c r="R86" s="27"/>
      <c r="S86" s="29" t="str">
        <f aca="false">G86&amp;IF(H86="","",CHAR(10)&amp;CHAR(10)&amp;"Criterios de aceptación:"&amp;CHAR(10)&amp;H86)</f>
        <v>Completar el CSV (se pueden adaptar de las guías de los docentes y del curso).
Criterios de aceptación:
• 45 ejercicios o más en el CSV.</v>
      </c>
    </row>
    <row r="87" customFormat="false" ht="27.75" hidden="false" customHeight="true" outlineLevel="0" collapsed="false">
      <c r="A87" s="26" t="n">
        <v>86</v>
      </c>
      <c r="B87" s="26" t="n">
        <v>82</v>
      </c>
      <c r="C87" s="27" t="s">
        <v>147</v>
      </c>
      <c r="D87" s="27" t="s">
        <v>87</v>
      </c>
      <c r="E87" s="27" t="s">
        <v>29</v>
      </c>
      <c r="F87" s="28" t="s">
        <v>420</v>
      </c>
      <c r="G87" s="27" t="s">
        <v>421</v>
      </c>
      <c r="H87" s="27" t="s">
        <v>422</v>
      </c>
      <c r="I87" s="27"/>
      <c r="J87" s="26" t="n">
        <v>1</v>
      </c>
      <c r="K87" s="26"/>
      <c r="L87" s="26" t="s">
        <v>311</v>
      </c>
      <c r="M87" s="26" t="s">
        <v>312</v>
      </c>
      <c r="N87" s="21" t="s">
        <v>133</v>
      </c>
      <c r="O87" s="27" t="s">
        <v>162</v>
      </c>
      <c r="P87" s="27" t="s">
        <v>59</v>
      </c>
      <c r="Q87" s="27" t="s">
        <v>299</v>
      </c>
      <c r="R87" s="27"/>
      <c r="S87" s="29" t="str">
        <f aca="false">G87&amp;IF(H87="","",CHAR(10)&amp;CHAR(10)&amp;"Criterios de aceptación:"&amp;CHAR(10)&amp;H87)</f>
        <v>Enviar una muestra al docente para validar nivel y corrección.
Criterios de aceptación:
• Observaciones incorporadas.</v>
      </c>
    </row>
    <row r="88" customFormat="false" ht="57.75" hidden="false" customHeight="true" outlineLevel="0" collapsed="false">
      <c r="A88" s="20" t="n">
        <v>87</v>
      </c>
      <c r="B88" s="20"/>
      <c r="C88" s="9" t="s">
        <v>126</v>
      </c>
      <c r="D88" s="9" t="s">
        <v>87</v>
      </c>
      <c r="E88" s="9" t="s">
        <v>29</v>
      </c>
      <c r="F88" s="8" t="s">
        <v>423</v>
      </c>
      <c r="G88" s="9" t="s">
        <v>424</v>
      </c>
      <c r="H88" s="9" t="s">
        <v>425</v>
      </c>
      <c r="I88" s="9" t="s">
        <v>130</v>
      </c>
      <c r="J88" s="20"/>
      <c r="K88" s="20" t="n">
        <f aca="false">IF(COUNTIF($B$2:$B$150,A88)&gt;0,SUMIFS($J$2:$J$150,$B$2:$B$150,A88)+N(J88),J88)</f>
        <v>8</v>
      </c>
      <c r="L88" s="20" t="s">
        <v>311</v>
      </c>
      <c r="M88" s="20" t="s">
        <v>312</v>
      </c>
      <c r="N88" s="21" t="s">
        <v>133</v>
      </c>
      <c r="O88" s="9" t="s">
        <v>162</v>
      </c>
      <c r="P88" s="9" t="s">
        <v>55</v>
      </c>
      <c r="Q88" s="9" t="s">
        <v>188</v>
      </c>
      <c r="R88" s="9"/>
      <c r="S88" s="23" t="str">
        <f aca="false">G88&amp;IF(H88="","",CHAR(10)&amp;CHAR(10)&amp;"Criterios de aceptación:"&amp;CHAR(10)&amp;H88)</f>
        <v>Tablas y entidades de contenido, ejercicio, opción, intento de práctica, retroalimentación y nivel actual del estudiante por competencia.
Criterios de aceptación:
• Migración aplicada y app arranca con validate.
• Cada intento queda ligado a estudiante, ejercicio, fecha, resultado y tiempo empleado.</v>
      </c>
    </row>
    <row r="89" customFormat="false" ht="87" hidden="false" customHeight="true" outlineLevel="0" collapsed="false">
      <c r="A89" s="26" t="n">
        <v>88</v>
      </c>
      <c r="B89" s="26" t="n">
        <v>87</v>
      </c>
      <c r="C89" s="27" t="s">
        <v>147</v>
      </c>
      <c r="D89" s="27" t="s">
        <v>87</v>
      </c>
      <c r="E89" s="27" t="s">
        <v>29</v>
      </c>
      <c r="F89" s="28" t="s">
        <v>426</v>
      </c>
      <c r="G89" s="27" t="s">
        <v>427</v>
      </c>
      <c r="H89" s="27" t="s">
        <v>428</v>
      </c>
      <c r="I89" s="27"/>
      <c r="J89" s="26" t="n">
        <v>4</v>
      </c>
      <c r="K89" s="26"/>
      <c r="L89" s="26" t="s">
        <v>311</v>
      </c>
      <c r="M89" s="26" t="s">
        <v>312</v>
      </c>
      <c r="N89" s="21" t="s">
        <v>133</v>
      </c>
      <c r="O89" s="27" t="s">
        <v>162</v>
      </c>
      <c r="P89" s="27" t="s">
        <v>55</v>
      </c>
      <c r="Q89" s="27" t="s">
        <v>192</v>
      </c>
      <c r="R89" s="27"/>
      <c r="S89" s="29" t="str">
        <f aca="false">G89&amp;IF(H89="","",CHAR(10)&amp;CHAR(10)&amp;"Criterios de aceptación:"&amp;CHAR(10)&amp;H89)</f>
        <v>contenido(id, competencia_id, titulo, descripcion, activo, creado_por); ejercicio(id, contenido_id, competencia_id, nivel 1-3, tipo, enunciado, respuesta_numerica NULL, pista, explicacion, activo); opcion_ejercicio; intento_practica(id, usuario_id, ejercicio_id, respuesta, es_correcta, tiempo_seg, creado_en); nivel_estudiante(usuario_id, competencia_id, nivel, racha, actualizado_en, PK compuesta).
Criterios de aceptación:
• Restricciones y índices por usuario_id y creado_en.</v>
      </c>
    </row>
    <row r="90" customFormat="false" ht="30" hidden="false" customHeight="true" outlineLevel="0" collapsed="false">
      <c r="A90" s="26" t="n">
        <v>89</v>
      </c>
      <c r="B90" s="26" t="n">
        <v>87</v>
      </c>
      <c r="C90" s="27" t="s">
        <v>147</v>
      </c>
      <c r="D90" s="27" t="s">
        <v>87</v>
      </c>
      <c r="E90" s="27" t="s">
        <v>29</v>
      </c>
      <c r="F90" s="28" t="s">
        <v>429</v>
      </c>
      <c r="G90" s="27" t="s">
        <v>430</v>
      </c>
      <c r="H90" s="27" t="s">
        <v>431</v>
      </c>
      <c r="I90" s="27"/>
      <c r="J90" s="26" t="n">
        <v>4</v>
      </c>
      <c r="K90" s="26"/>
      <c r="L90" s="26" t="s">
        <v>311</v>
      </c>
      <c r="M90" s="26" t="s">
        <v>312</v>
      </c>
      <c r="N90" s="21" t="s">
        <v>133</v>
      </c>
      <c r="O90" s="27" t="s">
        <v>162</v>
      </c>
      <c r="P90" s="27" t="s">
        <v>55</v>
      </c>
      <c r="Q90" s="27" t="s">
        <v>188</v>
      </c>
      <c r="R90" s="27"/>
      <c r="S90" s="29" t="str">
        <f aca="false">G90&amp;IF(H90="","",CHAR(10)&amp;CHAR(10)&amp;"Criterios de aceptación:"&amp;CHAR(10)&amp;H90)</f>
        <v>Entidades en practica/ y contenido/; migración de datos desde el CSV de Fernando.
Criterios de aceptación:
• Los ejercicios del CSV quedan cargados.</v>
      </c>
    </row>
    <row r="91" customFormat="false" ht="95.25" hidden="false" customHeight="true" outlineLevel="0" collapsed="false">
      <c r="A91" s="20" t="n">
        <v>90</v>
      </c>
      <c r="B91" s="20"/>
      <c r="C91" s="9" t="s">
        <v>206</v>
      </c>
      <c r="D91" s="9" t="s">
        <v>87</v>
      </c>
      <c r="E91" s="9" t="s">
        <v>29</v>
      </c>
      <c r="F91" s="8" t="s">
        <v>432</v>
      </c>
      <c r="G91" s="9" t="s">
        <v>433</v>
      </c>
      <c r="H91" s="9" t="s">
        <v>434</v>
      </c>
      <c r="I91" s="9" t="s">
        <v>435</v>
      </c>
      <c r="J91" s="20"/>
      <c r="K91" s="20" t="n">
        <f aca="false">IF(COUNTIF($B$2:$B$150,A91)&gt;0,SUMIFS($J$2:$J$150,$B$2:$B$150,A91)+N(J91),J91)</f>
        <v>14</v>
      </c>
      <c r="L91" s="20" t="s">
        <v>311</v>
      </c>
      <c r="M91" s="20" t="s">
        <v>312</v>
      </c>
      <c r="N91" s="21" t="s">
        <v>133</v>
      </c>
      <c r="O91" s="9" t="s">
        <v>162</v>
      </c>
      <c r="P91" s="9" t="s">
        <v>53</v>
      </c>
      <c r="Q91" s="9" t="s">
        <v>146</v>
      </c>
      <c r="R91" s="9"/>
      <c r="S91" s="23" t="str">
        <f aca="false">G91&amp;IF(H91="","",CHAR(10)&amp;CHAR(10)&amp;"Criterios de aceptación:"&amp;CHAR(10)&amp;H91)</f>
        <v>Algoritmo basado en reglas (sin IA, según el alcance) que elige el siguiente ejercicio según el resultado del diagnóstico y los aciertos/errores recientes, priorizando las competencias con más dificultad.
Criterios de aceptación:
• Un estudiante con categoría baja en una dimensión recibe mayoritariamente ejercicios de esa dimensión.
• No se repite un ejercicio ya acertado mientras haya otros disponibles.
• Las reglas están documentadas para el capítulo 6 del informe.</v>
      </c>
    </row>
    <row r="92" customFormat="false" ht="32.25" hidden="false" customHeight="true" outlineLevel="0" collapsed="false">
      <c r="A92" s="26" t="n">
        <v>91</v>
      </c>
      <c r="B92" s="26" t="n">
        <v>90</v>
      </c>
      <c r="C92" s="27" t="s">
        <v>147</v>
      </c>
      <c r="D92" s="27" t="s">
        <v>87</v>
      </c>
      <c r="E92" s="27" t="s">
        <v>29</v>
      </c>
      <c r="F92" s="28" t="s">
        <v>436</v>
      </c>
      <c r="G92" s="27" t="s">
        <v>437</v>
      </c>
      <c r="H92" s="27" t="s">
        <v>438</v>
      </c>
      <c r="I92" s="27"/>
      <c r="J92" s="26" t="n">
        <v>3</v>
      </c>
      <c r="K92" s="26"/>
      <c r="L92" s="26" t="s">
        <v>311</v>
      </c>
      <c r="M92" s="26" t="s">
        <v>312</v>
      </c>
      <c r="N92" s="21" t="s">
        <v>133</v>
      </c>
      <c r="O92" s="27" t="s">
        <v>162</v>
      </c>
      <c r="P92" s="27" t="s">
        <v>53</v>
      </c>
      <c r="Q92" s="27" t="s">
        <v>439</v>
      </c>
      <c r="R92" s="27"/>
      <c r="S92" s="29" t="str">
        <f aca="false">G92&amp;IF(H92="","",CHAR(10)&amp;CHAR(10)&amp;"Criterios de aceptación:"&amp;CHAR(10)&amp;H92)</f>
        <v>Pesos por dimensión según categoría, ventana de últimos N intentos, criterios de repetición y desempate.
Criterios de aceptación:
• Documento revisado por el equipo.</v>
      </c>
    </row>
    <row r="93" customFormat="false" ht="29.25" hidden="false" customHeight="true" outlineLevel="0" collapsed="false">
      <c r="A93" s="26" t="n">
        <v>92</v>
      </c>
      <c r="B93" s="26" t="n">
        <v>90</v>
      </c>
      <c r="C93" s="27" t="s">
        <v>147</v>
      </c>
      <c r="D93" s="27" t="s">
        <v>87</v>
      </c>
      <c r="E93" s="27" t="s">
        <v>29</v>
      </c>
      <c r="F93" s="28" t="s">
        <v>440</v>
      </c>
      <c r="G93" s="27" t="s">
        <v>441</v>
      </c>
      <c r="H93" s="27" t="s">
        <v>442</v>
      </c>
      <c r="I93" s="27"/>
      <c r="J93" s="26" t="n">
        <v>6</v>
      </c>
      <c r="K93" s="26"/>
      <c r="L93" s="26" t="s">
        <v>311</v>
      </c>
      <c r="M93" s="26" t="s">
        <v>312</v>
      </c>
      <c r="N93" s="21" t="s">
        <v>133</v>
      </c>
      <c r="O93" s="27" t="s">
        <v>162</v>
      </c>
      <c r="P93" s="27" t="s">
        <v>53</v>
      </c>
      <c r="Q93" s="27" t="s">
        <v>146</v>
      </c>
      <c r="R93" s="27"/>
      <c r="S93" s="29" t="str">
        <f aca="false">G93&amp;IF(H93="","",CHAR(10)&amp;CHAR(10)&amp;"Criterios de aceptación:"&amp;CHAR(10)&amp;H93)</f>
        <v>Servicio puro y probado que recibe estado del estudiante y devuelve el siguiente ejercicio.
Criterios de aceptación:
• Determinista con una semilla para pruebas.</v>
      </c>
    </row>
    <row r="94" customFormat="false" ht="27.75" hidden="false" customHeight="true" outlineLevel="0" collapsed="false">
      <c r="A94" s="26" t="n">
        <v>93</v>
      </c>
      <c r="B94" s="26" t="n">
        <v>90</v>
      </c>
      <c r="C94" s="27" t="s">
        <v>147</v>
      </c>
      <c r="D94" s="27" t="s">
        <v>87</v>
      </c>
      <c r="E94" s="27" t="s">
        <v>29</v>
      </c>
      <c r="F94" s="28" t="s">
        <v>443</v>
      </c>
      <c r="G94" s="27" t="s">
        <v>444</v>
      </c>
      <c r="H94" s="27" t="s">
        <v>445</v>
      </c>
      <c r="I94" s="27"/>
      <c r="J94" s="26" t="n">
        <v>2</v>
      </c>
      <c r="K94" s="26"/>
      <c r="L94" s="26" t="s">
        <v>311</v>
      </c>
      <c r="M94" s="26" t="s">
        <v>312</v>
      </c>
      <c r="N94" s="21" t="s">
        <v>133</v>
      </c>
      <c r="O94" s="27" t="s">
        <v>162</v>
      </c>
      <c r="P94" s="27" t="s">
        <v>53</v>
      </c>
      <c r="Q94" s="27" t="s">
        <v>146</v>
      </c>
      <c r="R94" s="27"/>
      <c r="S94" s="29" t="str">
        <f aca="false">G94&amp;IF(H94="","",CHAR(10)&amp;CHAR(10)&amp;"Criterios de aceptación:"&amp;CHAR(10)&amp;H94)</f>
        <v>Devuelve el ejercicio sin la respuesta, con su dimensión y nivel.
Criterios de aceptación:
• Solo ESTUDIANTE; no expone la respuesta.</v>
      </c>
    </row>
    <row r="95" customFormat="false" ht="30.75" hidden="false" customHeight="true" outlineLevel="0" collapsed="false">
      <c r="A95" s="26" t="n">
        <v>94</v>
      </c>
      <c r="B95" s="26" t="n">
        <v>90</v>
      </c>
      <c r="C95" s="27" t="s">
        <v>147</v>
      </c>
      <c r="D95" s="27" t="s">
        <v>87</v>
      </c>
      <c r="E95" s="27" t="s">
        <v>29</v>
      </c>
      <c r="F95" s="28" t="s">
        <v>446</v>
      </c>
      <c r="G95" s="27" t="s">
        <v>447</v>
      </c>
      <c r="H95" s="27" t="s">
        <v>248</v>
      </c>
      <c r="I95" s="27"/>
      <c r="J95" s="26" t="n">
        <v>3</v>
      </c>
      <c r="K95" s="26"/>
      <c r="L95" s="26" t="s">
        <v>311</v>
      </c>
      <c r="M95" s="26" t="s">
        <v>312</v>
      </c>
      <c r="N95" s="21" t="s">
        <v>133</v>
      </c>
      <c r="O95" s="27" t="s">
        <v>162</v>
      </c>
      <c r="P95" s="27" t="s">
        <v>53</v>
      </c>
      <c r="Q95" s="27" t="s">
        <v>205</v>
      </c>
      <c r="R95" s="27"/>
      <c r="S95" s="29" t="str">
        <f aca="false">G95&amp;IF(H95="","",CHAR(10)&amp;CHAR(10)&amp;"Criterios de aceptación:"&amp;CHAR(10)&amp;H95)</f>
        <v>Escenarios: estudiante nuevo, débil en una dimensión, que domina todo, sin ejercicios disponibles.
Criterios de aceptación:
• Pasan en CI.</v>
      </c>
    </row>
    <row r="96" customFormat="false" ht="81.75" hidden="false" customHeight="true" outlineLevel="0" collapsed="false">
      <c r="A96" s="20" t="n">
        <v>95</v>
      </c>
      <c r="B96" s="20"/>
      <c r="C96" s="9" t="s">
        <v>126</v>
      </c>
      <c r="D96" s="9" t="s">
        <v>87</v>
      </c>
      <c r="E96" s="9" t="s">
        <v>29</v>
      </c>
      <c r="F96" s="8" t="s">
        <v>448</v>
      </c>
      <c r="G96" s="9" t="s">
        <v>449</v>
      </c>
      <c r="H96" s="9" t="s">
        <v>450</v>
      </c>
      <c r="I96" s="9" t="s">
        <v>451</v>
      </c>
      <c r="J96" s="20"/>
      <c r="K96" s="20" t="n">
        <f aca="false">IF(COUNTIF($B$2:$B$150,A96)&gt;0,SUMIFS($J$2:$J$150,$B$2:$B$150,A96)+N(J96),J96)</f>
        <v>8</v>
      </c>
      <c r="L96" s="20" t="s">
        <v>311</v>
      </c>
      <c r="M96" s="20" t="s">
        <v>312</v>
      </c>
      <c r="N96" s="24" t="s">
        <v>139</v>
      </c>
      <c r="O96" s="9" t="s">
        <v>162</v>
      </c>
      <c r="P96" s="9" t="s">
        <v>53</v>
      </c>
      <c r="Q96" s="9" t="s">
        <v>146</v>
      </c>
      <c r="R96" s="9"/>
      <c r="S96" s="23" t="str">
        <f aca="false">G96&amp;IF(H96="","",CHAR(10)&amp;CHAR(10)&amp;"Criterios de aceptación:"&amp;CHAR(10)&amp;H96)</f>
        <v>Reglas que suben o bajan el nivel del estudiante en cada competencia según su desempeño reciente, y que el motor usa para elegir ejercicios.
Criterios de aceptación:
• Tras N aciertos seguidos sube de nivel y tras M errores baja (N y M configurables).
• El nivel nunca sale del rango 1–3.
• El nivel inicial se deriva de la categoría del diagnóstico.</v>
      </c>
    </row>
    <row r="97" customFormat="false" ht="27.75" hidden="false" customHeight="true" outlineLevel="0" collapsed="false">
      <c r="A97" s="26" t="n">
        <v>96</v>
      </c>
      <c r="B97" s="26" t="n">
        <v>95</v>
      </c>
      <c r="C97" s="27" t="s">
        <v>147</v>
      </c>
      <c r="D97" s="27" t="s">
        <v>87</v>
      </c>
      <c r="E97" s="27" t="s">
        <v>29</v>
      </c>
      <c r="F97" s="28" t="s">
        <v>452</v>
      </c>
      <c r="G97" s="27" t="s">
        <v>453</v>
      </c>
      <c r="H97" s="27" t="s">
        <v>454</v>
      </c>
      <c r="I97" s="27"/>
      <c r="J97" s="26" t="n">
        <v>2</v>
      </c>
      <c r="K97" s="26"/>
      <c r="L97" s="26" t="s">
        <v>311</v>
      </c>
      <c r="M97" s="26" t="s">
        <v>312</v>
      </c>
      <c r="N97" s="24" t="s">
        <v>139</v>
      </c>
      <c r="O97" s="27" t="s">
        <v>162</v>
      </c>
      <c r="P97" s="27" t="s">
        <v>53</v>
      </c>
      <c r="Q97" s="27" t="s">
        <v>146</v>
      </c>
      <c r="R97" s="27"/>
      <c r="S97" s="29" t="str">
        <f aca="false">G97&amp;IF(H97="","",CHAR(10)&amp;CHAR(10)&amp;"Criterios de aceptación:"&amp;CHAR(10)&amp;H97)</f>
        <v>Al finalizar el diagnóstico, inicializar nivel_estudiante por competencia.
Criterios de aceptación:
• Bajo → 1, medio → 2, alto → 3 (o lo que se acuerde).</v>
      </c>
    </row>
    <row r="98" customFormat="false" ht="27.75" hidden="false" customHeight="true" outlineLevel="0" collapsed="false">
      <c r="A98" s="26" t="n">
        <v>97</v>
      </c>
      <c r="B98" s="26" t="n">
        <v>95</v>
      </c>
      <c r="C98" s="27" t="s">
        <v>147</v>
      </c>
      <c r="D98" s="27" t="s">
        <v>87</v>
      </c>
      <c r="E98" s="27" t="s">
        <v>29</v>
      </c>
      <c r="F98" s="28" t="s">
        <v>455</v>
      </c>
      <c r="G98" s="27" t="s">
        <v>456</v>
      </c>
      <c r="H98" s="27" t="s">
        <v>457</v>
      </c>
      <c r="I98" s="27"/>
      <c r="J98" s="26" t="n">
        <v>4</v>
      </c>
      <c r="K98" s="26"/>
      <c r="L98" s="26" t="s">
        <v>311</v>
      </c>
      <c r="M98" s="26" t="s">
        <v>312</v>
      </c>
      <c r="N98" s="24" t="s">
        <v>139</v>
      </c>
      <c r="O98" s="27" t="s">
        <v>162</v>
      </c>
      <c r="P98" s="27" t="s">
        <v>53</v>
      </c>
      <c r="Q98" s="27" t="s">
        <v>146</v>
      </c>
      <c r="R98" s="27"/>
      <c r="S98" s="29" t="str">
        <f aca="false">G98&amp;IF(H98="","",CHAR(10)&amp;CHAR(10)&amp;"Criterios de aceptación:"&amp;CHAR(10)&amp;H98)</f>
        <v>Actualizar nivel y racha tras cada intento de práctica.
Criterios de aceptación:
• Configurable en application.yml.</v>
      </c>
    </row>
    <row r="99" customFormat="false" ht="27.75" hidden="false" customHeight="true" outlineLevel="0" collapsed="false">
      <c r="A99" s="26" t="n">
        <v>98</v>
      </c>
      <c r="B99" s="26" t="n">
        <v>95</v>
      </c>
      <c r="C99" s="27" t="s">
        <v>147</v>
      </c>
      <c r="D99" s="27" t="s">
        <v>87</v>
      </c>
      <c r="E99" s="27" t="s">
        <v>29</v>
      </c>
      <c r="F99" s="28" t="s">
        <v>458</v>
      </c>
      <c r="G99" s="27" t="s">
        <v>459</v>
      </c>
      <c r="H99" s="27" t="s">
        <v>248</v>
      </c>
      <c r="I99" s="27"/>
      <c r="J99" s="26" t="n">
        <v>2</v>
      </c>
      <c r="K99" s="26"/>
      <c r="L99" s="26" t="s">
        <v>311</v>
      </c>
      <c r="M99" s="26" t="s">
        <v>312</v>
      </c>
      <c r="N99" s="24" t="s">
        <v>139</v>
      </c>
      <c r="O99" s="27" t="s">
        <v>162</v>
      </c>
      <c r="P99" s="27" t="s">
        <v>53</v>
      </c>
      <c r="Q99" s="27" t="s">
        <v>205</v>
      </c>
      <c r="R99" s="27"/>
      <c r="S99" s="29" t="str">
        <f aca="false">G99&amp;IF(H99="","",CHAR(10)&amp;CHAR(10)&amp;"Criterios de aceptación:"&amp;CHAR(10)&amp;H99)</f>
        <v>Casos de límite 1 y 3 y rachas.
Criterios de aceptación:
• Pasan en CI.</v>
      </c>
    </row>
    <row r="100" customFormat="false" ht="75" hidden="false" customHeight="true" outlineLevel="0" collapsed="false">
      <c r="A100" s="20" t="n">
        <v>99</v>
      </c>
      <c r="B100" s="20"/>
      <c r="C100" s="9" t="s">
        <v>126</v>
      </c>
      <c r="D100" s="9" t="s">
        <v>92</v>
      </c>
      <c r="E100" s="9" t="s">
        <v>29</v>
      </c>
      <c r="F100" s="8" t="s">
        <v>460</v>
      </c>
      <c r="G100" s="9" t="s">
        <v>461</v>
      </c>
      <c r="H100" s="9" t="s">
        <v>462</v>
      </c>
      <c r="I100" s="9" t="s">
        <v>463</v>
      </c>
      <c r="J100" s="20"/>
      <c r="K100" s="20" t="n">
        <f aca="false">IF(COUNTIF($B$2:$B$150,A100)&gt;0,SUMIFS($J$2:$J$150,$B$2:$B$150,A100)+N(J100),J100)</f>
        <v>6</v>
      </c>
      <c r="L100" s="20" t="s">
        <v>311</v>
      </c>
      <c r="M100" s="20" t="s">
        <v>312</v>
      </c>
      <c r="N100" s="21" t="s">
        <v>133</v>
      </c>
      <c r="O100" s="9" t="s">
        <v>162</v>
      </c>
      <c r="P100" s="9" t="s">
        <v>53</v>
      </c>
      <c r="Q100" s="9" t="s">
        <v>188</v>
      </c>
      <c r="R100" s="25" t="s">
        <v>464</v>
      </c>
      <c r="S100" s="23" t="str">
        <f aca="false">G100&amp;IF(H100="","",CHAR(10)&amp;CHAR(10)&amp;"Criterios de aceptación:"&amp;CHAR(10)&amp;H100)</f>
        <v>RF-10 exige que el docente vea "sus estudiantes asociados", pero el modelo conceptual no tiene esa relación. Se agrega grupo (curso de Cálculo Diferencial en un periodo) con su docente y sus estudiantes.
Criterios de aceptación:
• Un docente solo puede consultar datos de estudiantes de sus grupos (probado con un docente ajeno → 403).
• El administrador o el docente puede inscribir estudiantes a un grupo (por correo o código de grupo).</v>
      </c>
    </row>
    <row r="101" customFormat="false" ht="39" hidden="false" customHeight="true" outlineLevel="0" collapsed="false">
      <c r="A101" s="26" t="n">
        <v>100</v>
      </c>
      <c r="B101" s="26" t="n">
        <v>99</v>
      </c>
      <c r="C101" s="27" t="s">
        <v>147</v>
      </c>
      <c r="D101" s="27" t="s">
        <v>92</v>
      </c>
      <c r="E101" s="27" t="s">
        <v>29</v>
      </c>
      <c r="F101" s="28" t="s">
        <v>465</v>
      </c>
      <c r="G101" s="27" t="s">
        <v>466</v>
      </c>
      <c r="H101" s="27" t="s">
        <v>467</v>
      </c>
      <c r="I101" s="27"/>
      <c r="J101" s="26" t="n">
        <v>2</v>
      </c>
      <c r="K101" s="26"/>
      <c r="L101" s="26" t="s">
        <v>311</v>
      </c>
      <c r="M101" s="26" t="s">
        <v>312</v>
      </c>
      <c r="N101" s="21" t="s">
        <v>133</v>
      </c>
      <c r="O101" s="27" t="s">
        <v>162</v>
      </c>
      <c r="P101" s="27" t="s">
        <v>53</v>
      </c>
      <c r="Q101" s="27" t="s">
        <v>192</v>
      </c>
      <c r="R101" s="30" t="s">
        <v>141</v>
      </c>
      <c r="S101" s="29" t="str">
        <f aca="false">G101&amp;IF(H101="","",CHAR(10)&amp;CHAR(10)&amp;"Criterios de aceptación:"&amp;CHAR(10)&amp;H101)</f>
        <v>grupo(id, nombre, periodo, docente_id FK usuario, codigo_inscripcion UNIQUE, activo); grupo_estudiante(grupo_id, estudiante_id, PK compuesta).
Criterios de aceptación:
• Migración aplicada.</v>
      </c>
    </row>
    <row r="102" customFormat="false" ht="27.75" hidden="false" customHeight="true" outlineLevel="0" collapsed="false">
      <c r="A102" s="26" t="n">
        <v>101</v>
      </c>
      <c r="B102" s="26" t="n">
        <v>99</v>
      </c>
      <c r="C102" s="27" t="s">
        <v>147</v>
      </c>
      <c r="D102" s="27" t="s">
        <v>92</v>
      </c>
      <c r="E102" s="27" t="s">
        <v>29</v>
      </c>
      <c r="F102" s="28" t="s">
        <v>468</v>
      </c>
      <c r="G102" s="27" t="s">
        <v>469</v>
      </c>
      <c r="H102" s="27" t="s">
        <v>470</v>
      </c>
      <c r="I102" s="27"/>
      <c r="J102" s="26" t="n">
        <v>3</v>
      </c>
      <c r="K102" s="26"/>
      <c r="L102" s="26" t="s">
        <v>311</v>
      </c>
      <c r="M102" s="26" t="s">
        <v>312</v>
      </c>
      <c r="N102" s="21" t="s">
        <v>133</v>
      </c>
      <c r="O102" s="27" t="s">
        <v>162</v>
      </c>
      <c r="P102" s="27" t="s">
        <v>53</v>
      </c>
      <c r="Q102" s="27" t="s">
        <v>146</v>
      </c>
      <c r="R102" s="30" t="s">
        <v>141</v>
      </c>
      <c r="S102" s="29" t="str">
        <f aca="false">G102&amp;IF(H102="","",CHAR(10)&amp;CHAR(10)&amp;"Criterios de aceptación:"&amp;CHAR(10)&amp;H102)</f>
        <v>CRUD de grupo (docente/admin) e inscripción de estudiante por código.
Criterios de aceptación:
• Documentados en Swagger.</v>
      </c>
    </row>
    <row r="103" customFormat="false" ht="31.5" hidden="false" customHeight="true" outlineLevel="0" collapsed="false">
      <c r="A103" s="26" t="n">
        <v>102</v>
      </c>
      <c r="B103" s="26" t="n">
        <v>99</v>
      </c>
      <c r="C103" s="27" t="s">
        <v>147</v>
      </c>
      <c r="D103" s="27" t="s">
        <v>92</v>
      </c>
      <c r="E103" s="27" t="s">
        <v>29</v>
      </c>
      <c r="F103" s="28" t="s">
        <v>471</v>
      </c>
      <c r="G103" s="27" t="s">
        <v>472</v>
      </c>
      <c r="H103" s="27" t="s">
        <v>473</v>
      </c>
      <c r="I103" s="27"/>
      <c r="J103" s="26" t="n">
        <v>1</v>
      </c>
      <c r="K103" s="26"/>
      <c r="L103" s="26" t="s">
        <v>311</v>
      </c>
      <c r="M103" s="26" t="s">
        <v>312</v>
      </c>
      <c r="N103" s="21" t="s">
        <v>133</v>
      </c>
      <c r="O103" s="27" t="s">
        <v>162</v>
      </c>
      <c r="P103" s="27" t="s">
        <v>53</v>
      </c>
      <c r="Q103" s="27" t="s">
        <v>218</v>
      </c>
      <c r="R103" s="30" t="s">
        <v>141</v>
      </c>
      <c r="S103" s="29" t="str">
        <f aca="false">G103&amp;IF(H103="","",CHAR(10)&amp;CHAR(10)&amp;"Criterios de aceptación:"&amp;CHAR(10)&amp;H103)</f>
        <v>Método reutilizable esDocenteDe(estudianteId) que usarán los servicios de indicadores y el historial.
Criterios de aceptación:
• Prueba con docente ajeno → 403.</v>
      </c>
    </row>
    <row r="104" customFormat="false" ht="102" hidden="false" customHeight="true" outlineLevel="0" collapsed="false">
      <c r="A104" s="20" t="n">
        <v>103</v>
      </c>
      <c r="B104" s="20"/>
      <c r="C104" s="9" t="s">
        <v>126</v>
      </c>
      <c r="D104" s="9" t="s">
        <v>105</v>
      </c>
      <c r="E104" s="9" t="s">
        <v>29</v>
      </c>
      <c r="F104" s="8" t="s">
        <v>474</v>
      </c>
      <c r="G104" s="9" t="s">
        <v>475</v>
      </c>
      <c r="H104" s="9" t="s">
        <v>476</v>
      </c>
      <c r="I104" s="9" t="s">
        <v>477</v>
      </c>
      <c r="J104" s="20" t="n">
        <v>4</v>
      </c>
      <c r="K104" s="20" t="n">
        <f aca="false">IF(COUNTIF($B$2:$B$150,A104)&gt;0,SUMIFS($J$2:$J$150,$B$2:$B$150,A104)+N(J104),J104)</f>
        <v>4</v>
      </c>
      <c r="L104" s="20" t="s">
        <v>311</v>
      </c>
      <c r="M104" s="20" t="s">
        <v>312</v>
      </c>
      <c r="N104" s="24" t="s">
        <v>139</v>
      </c>
      <c r="O104" s="9" t="s">
        <v>162</v>
      </c>
      <c r="P104" s="9" t="s">
        <v>59</v>
      </c>
      <c r="Q104" s="9" t="s">
        <v>478</v>
      </c>
      <c r="R104" s="9"/>
      <c r="S104" s="23" t="str">
        <f aca="false">G104&amp;IF(H104="","",CHAR(10)&amp;CHAR(10)&amp;"Criterios de aceptación:"&amp;CHAR(10)&amp;H104)</f>
        <v>Procedimiento de medición de usabilidad para la validación piloto: tareas, participantes, momento de aplicación, instrumento SUS y umbral de aceptación de RNF-01.
Criterios de aceptación:
• Protocolo escrito con 4–6 tareas (ej. iniciar sesión, presentar diagnóstico, resolver 3 ejercicios, consultar progreso; docente: consultar grupo).
• Umbral definido (ej. ≥ 80 % de tareas completadas sin ayuda y SUS ≥ 68).
• Se reutiliza en el capítulo 5 del informe.</v>
      </c>
    </row>
    <row r="105" customFormat="false" ht="106.5" hidden="false" customHeight="true" outlineLevel="0" collapsed="false">
      <c r="A105" s="20" t="n">
        <v>104</v>
      </c>
      <c r="B105" s="20"/>
      <c r="C105" s="9" t="s">
        <v>206</v>
      </c>
      <c r="D105" s="9" t="s">
        <v>87</v>
      </c>
      <c r="E105" s="9" t="s">
        <v>34</v>
      </c>
      <c r="F105" s="8" t="s">
        <v>479</v>
      </c>
      <c r="G105" s="9" t="s">
        <v>480</v>
      </c>
      <c r="H105" s="9" t="s">
        <v>481</v>
      </c>
      <c r="I105" s="9" t="s">
        <v>482</v>
      </c>
      <c r="J105" s="20"/>
      <c r="K105" s="20" t="n">
        <f aca="false">IF(COUNTIF($B$2:$B$150,A105)&gt;0,SUMIFS($J$2:$J$150,$B$2:$B$150,A105)+N(J105),J105)</f>
        <v>14</v>
      </c>
      <c r="L105" s="20" t="s">
        <v>483</v>
      </c>
      <c r="M105" s="20" t="s">
        <v>484</v>
      </c>
      <c r="N105" s="21" t="s">
        <v>133</v>
      </c>
      <c r="O105" s="9" t="s">
        <v>162</v>
      </c>
      <c r="P105" s="9" t="s">
        <v>57</v>
      </c>
      <c r="Q105" s="9" t="s">
        <v>171</v>
      </c>
      <c r="R105" s="9"/>
      <c r="S105" s="23" t="str">
        <f aca="false">G105&amp;IF(H105="","",CHAR(10)&amp;CHAR(10)&amp;"Criterios de aceptación:"&amp;CHAR(10)&amp;H105)</f>
        <v>Como estudiante quiero resolver ejercicios uno tras otro, enviar mi respuesta y saber de inmediato si acerté.
Criterios de aceptación:
• Muestra el ejercicio asignado por el motor con su dimensión y nivel.
• Soporta opción múltiple y respuesta numérica.
• Tras enviar muestra correcto/incorrecto y permite pasar al siguiente.
• Accesible por teclado y usable en móvil.</v>
      </c>
    </row>
    <row r="106" customFormat="false" ht="27.75" hidden="false" customHeight="true" outlineLevel="0" collapsed="false">
      <c r="A106" s="26" t="n">
        <v>105</v>
      </c>
      <c r="B106" s="26" t="n">
        <v>104</v>
      </c>
      <c r="C106" s="27" t="s">
        <v>147</v>
      </c>
      <c r="D106" s="27" t="s">
        <v>87</v>
      </c>
      <c r="E106" s="27" t="s">
        <v>34</v>
      </c>
      <c r="F106" s="28" t="s">
        <v>485</v>
      </c>
      <c r="G106" s="27" t="s">
        <v>486</v>
      </c>
      <c r="H106" s="27" t="s">
        <v>487</v>
      </c>
      <c r="I106" s="27"/>
      <c r="J106" s="26" t="n">
        <v>2</v>
      </c>
      <c r="K106" s="26"/>
      <c r="L106" s="26" t="s">
        <v>483</v>
      </c>
      <c r="M106" s="26" t="s">
        <v>484</v>
      </c>
      <c r="N106" s="21" t="s">
        <v>133</v>
      </c>
      <c r="O106" s="27" t="s">
        <v>162</v>
      </c>
      <c r="P106" s="27" t="s">
        <v>57</v>
      </c>
      <c r="Q106" s="27" t="s">
        <v>171</v>
      </c>
      <c r="R106" s="27"/>
      <c r="S106" s="29" t="str">
        <f aca="false">G106&amp;IF(H106="","",CHAR(10)&amp;CHAR(10)&amp;"Criterios de aceptación:"&amp;CHAR(10)&amp;H106)</f>
        <v>siguiente(), responder(), historial().
Criterios de aceptación:
• Coincide con el contrato.</v>
      </c>
    </row>
    <row r="107" customFormat="false" ht="28.5" hidden="false" customHeight="true" outlineLevel="0" collapsed="false">
      <c r="A107" s="26" t="n">
        <v>106</v>
      </c>
      <c r="B107" s="26" t="n">
        <v>104</v>
      </c>
      <c r="C107" s="27" t="s">
        <v>147</v>
      </c>
      <c r="D107" s="27" t="s">
        <v>87</v>
      </c>
      <c r="E107" s="27" t="s">
        <v>34</v>
      </c>
      <c r="F107" s="28" t="s">
        <v>488</v>
      </c>
      <c r="G107" s="27" t="s">
        <v>489</v>
      </c>
      <c r="H107" s="27" t="s">
        <v>490</v>
      </c>
      <c r="I107" s="27"/>
      <c r="J107" s="26" t="n">
        <v>6</v>
      </c>
      <c r="K107" s="26"/>
      <c r="L107" s="26" t="s">
        <v>483</v>
      </c>
      <c r="M107" s="26" t="s">
        <v>484</v>
      </c>
      <c r="N107" s="21" t="s">
        <v>133</v>
      </c>
      <c r="O107" s="27" t="s">
        <v>162</v>
      </c>
      <c r="P107" s="27" t="s">
        <v>57</v>
      </c>
      <c r="Q107" s="27" t="s">
        <v>171</v>
      </c>
      <c r="R107" s="27"/>
      <c r="S107" s="29" t="str">
        <f aca="false">G107&amp;IF(H107="","",CHAR(10)&amp;CHAR(10)&amp;"Criterios de aceptación:"&amp;CHAR(10)&amp;H107)</f>
        <v>MathText, opción múltiple o campo numérico validado, botón Enviar con estado de carga.
Criterios de aceptación:
• Ambos tipos funcionan.</v>
      </c>
    </row>
    <row r="108" customFormat="false" ht="27.75" hidden="false" customHeight="true" outlineLevel="0" collapsed="false">
      <c r="A108" s="26" t="n">
        <v>107</v>
      </c>
      <c r="B108" s="26" t="n">
        <v>104</v>
      </c>
      <c r="C108" s="27" t="s">
        <v>147</v>
      </c>
      <c r="D108" s="27" t="s">
        <v>87</v>
      </c>
      <c r="E108" s="27" t="s">
        <v>34</v>
      </c>
      <c r="F108" s="28" t="s">
        <v>491</v>
      </c>
      <c r="G108" s="27" t="s">
        <v>492</v>
      </c>
      <c r="H108" s="27" t="s">
        <v>493</v>
      </c>
      <c r="I108" s="27"/>
      <c r="J108" s="26" t="n">
        <v>2</v>
      </c>
      <c r="K108" s="26"/>
      <c r="L108" s="26" t="s">
        <v>483</v>
      </c>
      <c r="M108" s="26" t="s">
        <v>484</v>
      </c>
      <c r="N108" s="21" t="s">
        <v>133</v>
      </c>
      <c r="O108" s="27" t="s">
        <v>162</v>
      </c>
      <c r="P108" s="27" t="s">
        <v>57</v>
      </c>
      <c r="Q108" s="27" t="s">
        <v>171</v>
      </c>
      <c r="R108" s="27"/>
      <c r="S108" s="29" t="str">
        <f aca="false">G108&amp;IF(H108="","",CHAR(10)&amp;CHAR(10)&amp;"Criterios de aceptación:"&amp;CHAR(10)&amp;H108)</f>
        <v>Estado correcto/incorrecto (icono + texto, no solo color) y botón Siguiente.
Criterios de aceptación:
• El flujo no requiere recargar.</v>
      </c>
    </row>
    <row r="109" customFormat="false" ht="27.75" hidden="false" customHeight="true" outlineLevel="0" collapsed="false">
      <c r="A109" s="26" t="n">
        <v>108</v>
      </c>
      <c r="B109" s="26" t="n">
        <v>104</v>
      </c>
      <c r="C109" s="27" t="s">
        <v>147</v>
      </c>
      <c r="D109" s="27" t="s">
        <v>87</v>
      </c>
      <c r="E109" s="27" t="s">
        <v>34</v>
      </c>
      <c r="F109" s="28" t="s">
        <v>494</v>
      </c>
      <c r="G109" s="27" t="s">
        <v>495</v>
      </c>
      <c r="H109" s="27" t="s">
        <v>496</v>
      </c>
      <c r="I109" s="27"/>
      <c r="J109" s="26" t="n">
        <v>2</v>
      </c>
      <c r="K109" s="26"/>
      <c r="L109" s="26" t="s">
        <v>483</v>
      </c>
      <c r="M109" s="26" t="s">
        <v>484</v>
      </c>
      <c r="N109" s="21" t="s">
        <v>133</v>
      </c>
      <c r="O109" s="27" t="s">
        <v>162</v>
      </c>
      <c r="P109" s="27" t="s">
        <v>57</v>
      </c>
      <c r="Q109" s="27" t="s">
        <v>171</v>
      </c>
      <c r="R109" s="27"/>
      <c r="S109" s="29" t="str">
        <f aca="false">G109&amp;IF(H109="","",CHAR(10)&amp;CHAR(10)&amp;"Criterios de aceptación:"&amp;CHAR(10)&amp;H109)</f>
        <v>Racha, nivel actual por dimensión y ejercicios resueltos en la sesión.
Criterios de aceptación:
• Se actualiza tras cada intento.</v>
      </c>
    </row>
    <row r="110" customFormat="false" ht="27.75" hidden="false" customHeight="true" outlineLevel="0" collapsed="false">
      <c r="A110" s="26" t="n">
        <v>109</v>
      </c>
      <c r="B110" s="26" t="n">
        <v>104</v>
      </c>
      <c r="C110" s="27" t="s">
        <v>147</v>
      </c>
      <c r="D110" s="27" t="s">
        <v>87</v>
      </c>
      <c r="E110" s="27" t="s">
        <v>34</v>
      </c>
      <c r="F110" s="28" t="s">
        <v>497</v>
      </c>
      <c r="G110" s="27" t="s">
        <v>498</v>
      </c>
      <c r="H110" s="27" t="s">
        <v>499</v>
      </c>
      <c r="I110" s="27"/>
      <c r="J110" s="26" t="n">
        <v>2</v>
      </c>
      <c r="K110" s="26"/>
      <c r="L110" s="26" t="s">
        <v>483</v>
      </c>
      <c r="M110" s="26" t="s">
        <v>484</v>
      </c>
      <c r="N110" s="21" t="s">
        <v>133</v>
      </c>
      <c r="O110" s="27" t="s">
        <v>162</v>
      </c>
      <c r="P110" s="27" t="s">
        <v>57</v>
      </c>
      <c r="Q110" s="27" t="s">
        <v>500</v>
      </c>
      <c r="R110" s="27"/>
      <c r="S110" s="29" t="str">
        <f aca="false">G110&amp;IF(H110="","",CHAR(10)&amp;CHAR(10)&amp;"Criterios de aceptación:"&amp;CHAR(10)&amp;H110)</f>
        <v>Foco tras enviar, anuncios aria-live del resultado, contraste.
Criterios de aceptación:
• Sin errores críticos en Lighthouse Accessibility.</v>
      </c>
    </row>
    <row r="111" customFormat="false" ht="92.25" hidden="false" customHeight="true" outlineLevel="0" collapsed="false">
      <c r="A111" s="20" t="n">
        <v>110</v>
      </c>
      <c r="B111" s="20"/>
      <c r="C111" s="9" t="s">
        <v>206</v>
      </c>
      <c r="D111" s="9" t="s">
        <v>87</v>
      </c>
      <c r="E111" s="9" t="s">
        <v>34</v>
      </c>
      <c r="F111" s="8" t="s">
        <v>501</v>
      </c>
      <c r="G111" s="9" t="s">
        <v>502</v>
      </c>
      <c r="H111" s="9" t="s">
        <v>503</v>
      </c>
      <c r="I111" s="9" t="s">
        <v>504</v>
      </c>
      <c r="J111" s="20"/>
      <c r="K111" s="20" t="n">
        <f aca="false">IF(COUNTIF($B$2:$B$150,A111)&gt;0,SUMIFS($J$2:$J$150,$B$2:$B$150,A111)+N(J111),J111)</f>
        <v>10</v>
      </c>
      <c r="L111" s="20" t="s">
        <v>483</v>
      </c>
      <c r="M111" s="20" t="s">
        <v>484</v>
      </c>
      <c r="N111" s="21" t="s">
        <v>133</v>
      </c>
      <c r="O111" s="9" t="s">
        <v>162</v>
      </c>
      <c r="P111" s="9" t="s">
        <v>57</v>
      </c>
      <c r="Q111" s="9" t="s">
        <v>505</v>
      </c>
      <c r="R111" s="9" t="s">
        <v>506</v>
      </c>
      <c r="S111" s="23" t="str">
        <f aca="false">G111&amp;IF(H111="","",CHAR(10)&amp;CHAR(10)&amp;"Criterios de aceptación:"&amp;CHAR(10)&amp;H111)</f>
        <v>Después de cada respuesta, mostrar una explicación, pista o error común que ayude a entender el procedimiento, no solo si acertó.
Criterios de aceptación:
• Respuesta incorrecta: se muestra pista y, al segundo intento fallido, la explicación completa.
• Respuesta correcta: se muestra la explicación breve.
• La retroalimentación llega en la misma respuesta del endpoint de intento.</v>
      </c>
    </row>
    <row r="112" customFormat="false" ht="30.75" hidden="false" customHeight="true" outlineLevel="0" collapsed="false">
      <c r="A112" s="26" t="n">
        <v>111</v>
      </c>
      <c r="B112" s="26" t="n">
        <v>110</v>
      </c>
      <c r="C112" s="27" t="s">
        <v>147</v>
      </c>
      <c r="D112" s="27" t="s">
        <v>87</v>
      </c>
      <c r="E112" s="27" t="s">
        <v>34</v>
      </c>
      <c r="F112" s="28" t="s">
        <v>507</v>
      </c>
      <c r="G112" s="27" t="s">
        <v>508</v>
      </c>
      <c r="H112" s="27" t="s">
        <v>509</v>
      </c>
      <c r="I112" s="27"/>
      <c r="J112" s="26" t="n">
        <v>3</v>
      </c>
      <c r="K112" s="26"/>
      <c r="L112" s="26" t="s">
        <v>483</v>
      </c>
      <c r="M112" s="26" t="s">
        <v>484</v>
      </c>
      <c r="N112" s="21" t="s">
        <v>133</v>
      </c>
      <c r="O112" s="27" t="s">
        <v>162</v>
      </c>
      <c r="P112" s="27" t="s">
        <v>55</v>
      </c>
      <c r="Q112" s="27" t="s">
        <v>146</v>
      </c>
      <c r="R112" s="27"/>
      <c r="S112" s="29" t="str">
        <f aca="false">G112&amp;IF(H112="","",CHAR(10)&amp;CHAR(10)&amp;"Criterios de aceptación:"&amp;CHAR(10)&amp;H112)</f>
        <v>POST /api/practica/intentos devuelve es_correcta, pista o explicación según el número de intento.
Criterios de aceptación:
• Prueba de las dos ramas.</v>
      </c>
    </row>
    <row r="113" customFormat="false" ht="28.5" hidden="false" customHeight="true" outlineLevel="0" collapsed="false">
      <c r="A113" s="26" t="n">
        <v>112</v>
      </c>
      <c r="B113" s="26" t="n">
        <v>110</v>
      </c>
      <c r="C113" s="27" t="s">
        <v>147</v>
      </c>
      <c r="D113" s="27" t="s">
        <v>87</v>
      </c>
      <c r="E113" s="27" t="s">
        <v>34</v>
      </c>
      <c r="F113" s="28" t="s">
        <v>510</v>
      </c>
      <c r="G113" s="27" t="s">
        <v>511</v>
      </c>
      <c r="H113" s="27" t="s">
        <v>512</v>
      </c>
      <c r="I113" s="27"/>
      <c r="J113" s="26" t="n">
        <v>4</v>
      </c>
      <c r="K113" s="26"/>
      <c r="L113" s="26" t="s">
        <v>483</v>
      </c>
      <c r="M113" s="26" t="s">
        <v>484</v>
      </c>
      <c r="N113" s="21" t="s">
        <v>133</v>
      </c>
      <c r="O113" s="27" t="s">
        <v>162</v>
      </c>
      <c r="P113" s="27" t="s">
        <v>57</v>
      </c>
      <c r="Q113" s="27" t="s">
        <v>171</v>
      </c>
      <c r="R113" s="27"/>
      <c r="S113" s="29" t="str">
        <f aca="false">G113&amp;IF(H113="","",CHAR(10)&amp;CHAR(10)&amp;"Criterios de aceptación:"&amp;CHAR(10)&amp;H113)</f>
        <v>Componente con pista, explicación (MathText) y error común, anunciado con aria-live.
Criterios de aceptación:
• Se ve bajo el ejercicio sin tapar el enunciado.</v>
      </c>
    </row>
    <row r="114" customFormat="false" ht="27.75" hidden="false" customHeight="true" outlineLevel="0" collapsed="false">
      <c r="A114" s="26" t="n">
        <v>113</v>
      </c>
      <c r="B114" s="26" t="n">
        <v>110</v>
      </c>
      <c r="C114" s="27" t="s">
        <v>147</v>
      </c>
      <c r="D114" s="27" t="s">
        <v>87</v>
      </c>
      <c r="E114" s="27" t="s">
        <v>34</v>
      </c>
      <c r="F114" s="28" t="s">
        <v>513</v>
      </c>
      <c r="G114" s="27" t="s">
        <v>514</v>
      </c>
      <c r="H114" s="27" t="s">
        <v>515</v>
      </c>
      <c r="I114" s="27"/>
      <c r="J114" s="26" t="n">
        <v>3</v>
      </c>
      <c r="K114" s="26"/>
      <c r="L114" s="26" t="s">
        <v>483</v>
      </c>
      <c r="M114" s="26" t="s">
        <v>484</v>
      </c>
      <c r="N114" s="21" t="s">
        <v>133</v>
      </c>
      <c r="O114" s="27" t="s">
        <v>162</v>
      </c>
      <c r="P114" s="27" t="s">
        <v>57</v>
      </c>
      <c r="Q114" s="27" t="s">
        <v>171</v>
      </c>
      <c r="R114" s="27"/>
      <c r="S114" s="29" t="str">
        <f aca="false">G114&amp;IF(H114="","",CHAR(10)&amp;CHAR(10)&amp;"Criterios de aceptación:"&amp;CHAR(10)&amp;H114)</f>
        <v>Botón "Ver pista" antes de responder y flujo de segundo intento.
Criterios de aceptación:
• El segundo intento queda registrado.</v>
      </c>
    </row>
    <row r="115" customFormat="false" ht="54.75" hidden="false" customHeight="true" outlineLevel="0" collapsed="false">
      <c r="A115" s="20" t="n">
        <v>114</v>
      </c>
      <c r="B115" s="20"/>
      <c r="C115" s="9" t="s">
        <v>126</v>
      </c>
      <c r="D115" s="9" t="s">
        <v>87</v>
      </c>
      <c r="E115" s="9" t="s">
        <v>34</v>
      </c>
      <c r="F115" s="8" t="s">
        <v>516</v>
      </c>
      <c r="G115" s="9" t="s">
        <v>517</v>
      </c>
      <c r="H115" s="9" t="s">
        <v>518</v>
      </c>
      <c r="I115" s="9" t="s">
        <v>519</v>
      </c>
      <c r="J115" s="20"/>
      <c r="K115" s="20" t="n">
        <f aca="false">IF(COUNTIF($B$2:$B$150,A115)&gt;0,SUMIFS($J$2:$J$150,$B$2:$B$150,A115)+N(J115),J115)</f>
        <v>6</v>
      </c>
      <c r="L115" s="20" t="s">
        <v>483</v>
      </c>
      <c r="M115" s="20" t="s">
        <v>484</v>
      </c>
      <c r="N115" s="24" t="s">
        <v>139</v>
      </c>
      <c r="O115" s="9" t="s">
        <v>162</v>
      </c>
      <c r="P115" s="9" t="s">
        <v>55</v>
      </c>
      <c r="Q115" s="9" t="s">
        <v>146</v>
      </c>
      <c r="R115" s="9"/>
      <c r="S115" s="23" t="str">
        <f aca="false">G115&amp;IF(H115="","",CHAR(10)&amp;CHAR(10)&amp;"Criterios de aceptación:"&amp;CHAR(10)&amp;H115)</f>
        <v>Persistir cada intento con estudiante, ejercicio, resultado, fecha y tiempo empleado, evitando duplicados por doble clic o reintentos de red.
Criterios de aceptación:
• Cada intento queda consultable con los 5 datos (CA-08).
• Un doble envío idéntico en menos de 2 s no crea dos registros.</v>
      </c>
    </row>
    <row r="116" customFormat="false" ht="27.75" hidden="false" customHeight="true" outlineLevel="0" collapsed="false">
      <c r="A116" s="26" t="n">
        <v>115</v>
      </c>
      <c r="B116" s="26" t="n">
        <v>114</v>
      </c>
      <c r="C116" s="27" t="s">
        <v>147</v>
      </c>
      <c r="D116" s="27" t="s">
        <v>87</v>
      </c>
      <c r="E116" s="27" t="s">
        <v>34</v>
      </c>
      <c r="F116" s="28" t="s">
        <v>520</v>
      </c>
      <c r="G116" s="27" t="s">
        <v>521</v>
      </c>
      <c r="H116" s="27" t="s">
        <v>522</v>
      </c>
      <c r="I116" s="27"/>
      <c r="J116" s="26" t="n">
        <v>3</v>
      </c>
      <c r="K116" s="26"/>
      <c r="L116" s="26" t="s">
        <v>483</v>
      </c>
      <c r="M116" s="26" t="s">
        <v>484</v>
      </c>
      <c r="N116" s="24" t="s">
        <v>139</v>
      </c>
      <c r="O116" s="27" t="s">
        <v>162</v>
      </c>
      <c r="P116" s="27" t="s">
        <v>55</v>
      </c>
      <c r="Q116" s="27" t="s">
        <v>146</v>
      </c>
      <c r="R116" s="27"/>
      <c r="S116" s="29" t="str">
        <f aca="false">G116&amp;IF(H116="","",CHAR(10)&amp;CHAR(10)&amp;"Criterios de aceptación:"&amp;CHAR(10)&amp;H116)</f>
        <v>Guardar intento, actualizar nivel_estudiante en la misma transacción.
Criterios de aceptación:
• Transaccional.</v>
      </c>
    </row>
    <row r="117" customFormat="false" ht="28.5" hidden="false" customHeight="true" outlineLevel="0" collapsed="false">
      <c r="A117" s="26" t="n">
        <v>116</v>
      </c>
      <c r="B117" s="26" t="n">
        <v>114</v>
      </c>
      <c r="C117" s="27" t="s">
        <v>147</v>
      </c>
      <c r="D117" s="27" t="s">
        <v>87</v>
      </c>
      <c r="E117" s="27" t="s">
        <v>34</v>
      </c>
      <c r="F117" s="28" t="s">
        <v>523</v>
      </c>
      <c r="G117" s="27" t="s">
        <v>524</v>
      </c>
      <c r="H117" s="27" t="s">
        <v>525</v>
      </c>
      <c r="I117" s="27"/>
      <c r="J117" s="26" t="n">
        <v>3</v>
      </c>
      <c r="K117" s="26"/>
      <c r="L117" s="26" t="s">
        <v>483</v>
      </c>
      <c r="M117" s="26" t="s">
        <v>484</v>
      </c>
      <c r="N117" s="24" t="s">
        <v>139</v>
      </c>
      <c r="O117" s="27" t="s">
        <v>162</v>
      </c>
      <c r="P117" s="27" t="s">
        <v>53</v>
      </c>
      <c r="Q117" s="27" t="s">
        <v>146</v>
      </c>
      <c r="R117" s="27"/>
      <c r="S117" s="29" t="str">
        <f aca="false">G117&amp;IF(H117="","",CHAR(10)&amp;CHAR(10)&amp;"Criterios de aceptación:"&amp;CHAR(10)&amp;H117)</f>
        <v>Clave de idempotencia enviada por el frontend (UUID por intento) con restricción única.
Criterios de aceptación:
• Prueba de doble envío.</v>
      </c>
    </row>
    <row r="118" customFormat="false" ht="60.75" hidden="false" customHeight="true" outlineLevel="0" collapsed="false">
      <c r="A118" s="20" t="n">
        <v>117</v>
      </c>
      <c r="B118" s="20"/>
      <c r="C118" s="9" t="s">
        <v>126</v>
      </c>
      <c r="D118" s="9" t="s">
        <v>92</v>
      </c>
      <c r="E118" s="9" t="s">
        <v>34</v>
      </c>
      <c r="F118" s="8" t="s">
        <v>526</v>
      </c>
      <c r="G118" s="9" t="s">
        <v>527</v>
      </c>
      <c r="H118" s="9" t="s">
        <v>528</v>
      </c>
      <c r="I118" s="9" t="s">
        <v>529</v>
      </c>
      <c r="J118" s="20" t="n">
        <v>6</v>
      </c>
      <c r="K118" s="20" t="n">
        <f aca="false">IF(COUNTIF($B$2:$B$150,A118)&gt;0,SUMIFS($J$2:$J$150,$B$2:$B$150,A118)+N(J118),J118)</f>
        <v>6</v>
      </c>
      <c r="L118" s="20" t="s">
        <v>483</v>
      </c>
      <c r="M118" s="20" t="s">
        <v>484</v>
      </c>
      <c r="N118" s="21" t="s">
        <v>133</v>
      </c>
      <c r="O118" s="9" t="s">
        <v>162</v>
      </c>
      <c r="P118" s="9" t="s">
        <v>59</v>
      </c>
      <c r="Q118" s="9" t="s">
        <v>530</v>
      </c>
      <c r="R118" s="9"/>
      <c r="S118" s="23" t="str">
        <f aca="false">G118&amp;IF(H118="","",CHAR(10)&amp;CHAR(10)&amp;"Criterios de aceptación:"&amp;CHAR(10)&amp;H118)</f>
        <v>Definir las métricas de progreso: porcentaje de aciertos por dimensión, intentos, ejercicios completados, nivel actual, variación frente al diagnóstico y tendencia semanal.
Criterios de aceptación:
• Cada indicador tiene fórmula, fuente de datos y visualización propuesta en la tarjeta.
• Juan David confirma que se pueden calcular con el modelo.</v>
      </c>
    </row>
    <row r="119" customFormat="false" ht="59.25" hidden="false" customHeight="true" outlineLevel="0" collapsed="false">
      <c r="A119" s="20" t="n">
        <v>118</v>
      </c>
      <c r="B119" s="20"/>
      <c r="C119" s="9" t="s">
        <v>126</v>
      </c>
      <c r="D119" s="9" t="s">
        <v>92</v>
      </c>
      <c r="E119" s="9" t="s">
        <v>34</v>
      </c>
      <c r="F119" s="8" t="s">
        <v>531</v>
      </c>
      <c r="G119" s="9" t="s">
        <v>532</v>
      </c>
      <c r="H119" s="9" t="s">
        <v>533</v>
      </c>
      <c r="I119" s="9" t="s">
        <v>529</v>
      </c>
      <c r="J119" s="20" t="n">
        <v>8</v>
      </c>
      <c r="K119" s="20" t="n">
        <f aca="false">IF(COUNTIF($B$2:$B$150,A119)&gt;0,SUMIFS($J$2:$J$150,$B$2:$B$150,A119)+N(J119),J119)</f>
        <v>8</v>
      </c>
      <c r="L119" s="20" t="s">
        <v>483</v>
      </c>
      <c r="M119" s="20" t="s">
        <v>484</v>
      </c>
      <c r="N119" s="21" t="s">
        <v>133</v>
      </c>
      <c r="O119" s="9" t="s">
        <v>162</v>
      </c>
      <c r="P119" s="9" t="s">
        <v>55</v>
      </c>
      <c r="Q119" s="9" t="s">
        <v>146</v>
      </c>
      <c r="R119" s="9"/>
      <c r="S119" s="23" t="str">
        <f aca="false">G119&amp;IF(H119="","",CHAR(10)&amp;CHAR(10)&amp;"Criterios de aceptación:"&amp;CHAR(10)&amp;H119)</f>
        <v>Consultas y agregaciones sobre los intentos que alimentan el dashboard del estudiante.
Criterios de aceptación:
• GET /api/progreso/me devuelve todos los indicadores definidos en &lt; 1 s con 1.000 intentos.
• Resultados verificados contra un cálculo manual.</v>
      </c>
    </row>
    <row r="120" customFormat="false" ht="74.25" hidden="false" customHeight="true" outlineLevel="0" collapsed="false">
      <c r="A120" s="20" t="n">
        <v>119</v>
      </c>
      <c r="B120" s="20"/>
      <c r="C120" s="9" t="s">
        <v>206</v>
      </c>
      <c r="D120" s="9" t="s">
        <v>92</v>
      </c>
      <c r="E120" s="9" t="s">
        <v>34</v>
      </c>
      <c r="F120" s="8" t="s">
        <v>534</v>
      </c>
      <c r="G120" s="9" t="s">
        <v>535</v>
      </c>
      <c r="H120" s="9" t="s">
        <v>536</v>
      </c>
      <c r="I120" s="9" t="s">
        <v>529</v>
      </c>
      <c r="J120" s="20"/>
      <c r="K120" s="20" t="n">
        <f aca="false">IF(COUNTIF($B$2:$B$150,A120)&gt;0,SUMIFS($J$2:$J$150,$B$2:$B$150,A120)+N(J120),J120)</f>
        <v>12</v>
      </c>
      <c r="L120" s="20" t="s">
        <v>483</v>
      </c>
      <c r="M120" s="20" t="s">
        <v>484</v>
      </c>
      <c r="N120" s="21" t="s">
        <v>133</v>
      </c>
      <c r="O120" s="9" t="s">
        <v>162</v>
      </c>
      <c r="P120" s="9" t="s">
        <v>59</v>
      </c>
      <c r="Q120" s="9" t="s">
        <v>171</v>
      </c>
      <c r="R120" s="9"/>
      <c r="S120" s="23" t="str">
        <f aca="false">G120&amp;IF(H120="","",CHAR(10)&amp;CHAR(10)&amp;"Criterios de aceptación:"&amp;CHAR(10)&amp;H120)</f>
        <v>Inicio del estudiante: resumen del diagnóstico, nivel y aciertos por dimensión, actividades completadas y tendencia, con accesos a diagnóstico y práctica.
Criterios de aceptación:
• Muestra los indicadores definidos con datos reales.
• Estado vacío claro si aún no presentó el diagnóstico.
• Cada gráfico tiene alternativa textual.</v>
      </c>
    </row>
    <row r="121" customFormat="false" ht="27.75" hidden="false" customHeight="true" outlineLevel="0" collapsed="false">
      <c r="A121" s="26" t="n">
        <v>120</v>
      </c>
      <c r="B121" s="26" t="n">
        <v>119</v>
      </c>
      <c r="C121" s="27" t="s">
        <v>147</v>
      </c>
      <c r="D121" s="27" t="s">
        <v>92</v>
      </c>
      <c r="E121" s="27" t="s">
        <v>34</v>
      </c>
      <c r="F121" s="28" t="s">
        <v>537</v>
      </c>
      <c r="G121" s="27" t="s">
        <v>538</v>
      </c>
      <c r="H121" s="27" t="s">
        <v>539</v>
      </c>
      <c r="I121" s="27"/>
      <c r="J121" s="26" t="n">
        <v>4</v>
      </c>
      <c r="K121" s="26"/>
      <c r="L121" s="26" t="s">
        <v>483</v>
      </c>
      <c r="M121" s="26" t="s">
        <v>484</v>
      </c>
      <c r="N121" s="21" t="s">
        <v>133</v>
      </c>
      <c r="O121" s="27" t="s">
        <v>162</v>
      </c>
      <c r="P121" s="27" t="s">
        <v>59</v>
      </c>
      <c r="Q121" s="27" t="s">
        <v>171</v>
      </c>
      <c r="R121" s="27"/>
      <c r="S121" s="29" t="str">
        <f aca="false">G121&amp;IF(H121="","",CHAR(10)&amp;CHAR(10)&amp;"Criterios de aceptación:"&amp;CHAR(10)&amp;H121)</f>
        <v>Diagnóstico, nivel por dimensión, ejercicios completados.
Criterios de aceptación:
• Sin diagnóstico → invita a presentarlo.</v>
      </c>
    </row>
    <row r="122" customFormat="false" ht="27.75" hidden="false" customHeight="true" outlineLevel="0" collapsed="false">
      <c r="A122" s="26" t="n">
        <v>121</v>
      </c>
      <c r="B122" s="26" t="n">
        <v>119</v>
      </c>
      <c r="C122" s="27" t="s">
        <v>147</v>
      </c>
      <c r="D122" s="27" t="s">
        <v>92</v>
      </c>
      <c r="E122" s="27" t="s">
        <v>34</v>
      </c>
      <c r="F122" s="28" t="s">
        <v>540</v>
      </c>
      <c r="G122" s="27" t="s">
        <v>541</v>
      </c>
      <c r="H122" s="27" t="s">
        <v>542</v>
      </c>
      <c r="I122" s="27"/>
      <c r="J122" s="26" t="n">
        <v>6</v>
      </c>
      <c r="K122" s="26"/>
      <c r="L122" s="26" t="s">
        <v>483</v>
      </c>
      <c r="M122" s="26" t="s">
        <v>484</v>
      </c>
      <c r="N122" s="21" t="s">
        <v>133</v>
      </c>
      <c r="O122" s="27" t="s">
        <v>162</v>
      </c>
      <c r="P122" s="27" t="s">
        <v>59</v>
      </c>
      <c r="Q122" s="27" t="s">
        <v>171</v>
      </c>
      <c r="R122" s="27"/>
      <c r="S122" s="29" t="str">
        <f aca="false">G122&amp;IF(H122="","",CHAR(10)&amp;CHAR(10)&amp;"Criterios de aceptación:"&amp;CHAR(10)&amp;H122)</f>
        <v>recharts: barras por dimensión y línea semanal.
Criterios de aceptación:
• Tooltips y tabla accesible.</v>
      </c>
    </row>
    <row r="123" customFormat="false" ht="27.75" hidden="false" customHeight="true" outlineLevel="0" collapsed="false">
      <c r="A123" s="26" t="n">
        <v>122</v>
      </c>
      <c r="B123" s="26" t="n">
        <v>119</v>
      </c>
      <c r="C123" s="27" t="s">
        <v>147</v>
      </c>
      <c r="D123" s="27" t="s">
        <v>92</v>
      </c>
      <c r="E123" s="27" t="s">
        <v>34</v>
      </c>
      <c r="F123" s="28" t="s">
        <v>543</v>
      </c>
      <c r="G123" s="27" t="s">
        <v>544</v>
      </c>
      <c r="H123" s="27" t="s">
        <v>545</v>
      </c>
      <c r="I123" s="27"/>
      <c r="J123" s="26" t="n">
        <v>2</v>
      </c>
      <c r="K123" s="26"/>
      <c r="L123" s="26" t="s">
        <v>483</v>
      </c>
      <c r="M123" s="26" t="s">
        <v>484</v>
      </c>
      <c r="N123" s="21" t="s">
        <v>133</v>
      </c>
      <c r="O123" s="27" t="s">
        <v>162</v>
      </c>
      <c r="P123" s="27" t="s">
        <v>59</v>
      </c>
      <c r="Q123" s="27" t="s">
        <v>171</v>
      </c>
      <c r="R123" s="27"/>
      <c r="S123" s="29" t="str">
        <f aca="false">G123&amp;IF(H123="","",CHAR(10)&amp;CHAR(10)&amp;"Criterios de aceptación:"&amp;CHAR(10)&amp;H123)</f>
        <v>Grid de MUI de 1 a 3 columnas.
Criterios de aceptación:
• Correcto en 375 px y 1440 px.</v>
      </c>
    </row>
    <row r="124" customFormat="false" ht="54.75" hidden="false" customHeight="true" outlineLevel="0" collapsed="false">
      <c r="A124" s="20" t="n">
        <v>123</v>
      </c>
      <c r="B124" s="20"/>
      <c r="C124" s="9" t="s">
        <v>126</v>
      </c>
      <c r="D124" s="9" t="s">
        <v>92</v>
      </c>
      <c r="E124" s="9" t="s">
        <v>34</v>
      </c>
      <c r="F124" s="8" t="s">
        <v>546</v>
      </c>
      <c r="G124" s="9" t="s">
        <v>547</v>
      </c>
      <c r="H124" s="9" t="s">
        <v>548</v>
      </c>
      <c r="I124" s="9" t="s">
        <v>549</v>
      </c>
      <c r="J124" s="20" t="n">
        <v>8</v>
      </c>
      <c r="K124" s="20" t="n">
        <f aca="false">IF(COUNTIF($B$2:$B$150,A124)&gt;0,SUMIFS($J$2:$J$150,$B$2:$B$150,A124)+N(J124),J124)</f>
        <v>8</v>
      </c>
      <c r="L124" s="20" t="s">
        <v>483</v>
      </c>
      <c r="M124" s="20" t="s">
        <v>484</v>
      </c>
      <c r="N124" s="21" t="s">
        <v>133</v>
      </c>
      <c r="O124" s="9" t="s">
        <v>162</v>
      </c>
      <c r="P124" s="9" t="s">
        <v>55</v>
      </c>
      <c r="Q124" s="9" t="s">
        <v>146</v>
      </c>
      <c r="R124" s="9"/>
      <c r="S124" s="23" t="str">
        <f aca="false">G124&amp;IF(H124="","",CHAR(10)&amp;CHAR(10)&amp;"Criterios de aceptación:"&amp;CHAR(10)&amp;H124)</f>
        <v>Agregaciones por grupo: promedio por dimensión, distribución de categorías, estudiantes en riesgo y detalle por estudiante, solo para los grupos del docente.
Criterios de aceptación:
• Un docente solo ve sus grupos (403 en otros).
• Filtros por competencia y periodo funcionan.</v>
      </c>
    </row>
    <row r="125" customFormat="false" ht="57.75" hidden="false" customHeight="true" outlineLevel="0" collapsed="false">
      <c r="A125" s="20" t="n">
        <v>124</v>
      </c>
      <c r="B125" s="20"/>
      <c r="C125" s="9" t="s">
        <v>206</v>
      </c>
      <c r="D125" s="9" t="s">
        <v>92</v>
      </c>
      <c r="E125" s="9" t="s">
        <v>34</v>
      </c>
      <c r="F125" s="8" t="s">
        <v>550</v>
      </c>
      <c r="G125" s="9" t="s">
        <v>551</v>
      </c>
      <c r="H125" s="9" t="s">
        <v>552</v>
      </c>
      <c r="I125" s="9" t="s">
        <v>549</v>
      </c>
      <c r="J125" s="20"/>
      <c r="K125" s="20" t="n">
        <f aca="false">IF(COUNTIF($B$2:$B$150,A125)&gt;0,SUMIFS($J$2:$J$150,$B$2:$B$150,A125)+N(J125),J125)</f>
        <v>12</v>
      </c>
      <c r="L125" s="20" t="s">
        <v>483</v>
      </c>
      <c r="M125" s="20" t="s">
        <v>484</v>
      </c>
      <c r="N125" s="21" t="s">
        <v>133</v>
      </c>
      <c r="O125" s="9" t="s">
        <v>162</v>
      </c>
      <c r="P125" s="9" t="s">
        <v>59</v>
      </c>
      <c r="Q125" s="9" t="s">
        <v>171</v>
      </c>
      <c r="R125" s="9"/>
      <c r="S125" s="23" t="str">
        <f aca="false">G125&amp;IF(H125="","",CHAR(10)&amp;CHAR(10)&amp;"Criterios de aceptación:"&amp;CHAR(10)&amp;H125)</f>
        <v>Panel donde el docente consulta el desempeño de sus grupos y de cada estudiante, con filtros por competencia y periodo.
Criterios de aceptación:
• Selector de grupo, resumen por dimensión, tabla de estudiantes ordenable y detalle por estudiante.
• Filtros por competencia y periodo.</v>
      </c>
    </row>
    <row r="126" customFormat="false" ht="27.75" hidden="false" customHeight="true" outlineLevel="0" collapsed="false">
      <c r="A126" s="26" t="n">
        <v>125</v>
      </c>
      <c r="B126" s="26" t="n">
        <v>124</v>
      </c>
      <c r="C126" s="27" t="s">
        <v>147</v>
      </c>
      <c r="D126" s="27" t="s">
        <v>92</v>
      </c>
      <c r="E126" s="27" t="s">
        <v>34</v>
      </c>
      <c r="F126" s="28" t="s">
        <v>553</v>
      </c>
      <c r="G126" s="27" t="s">
        <v>554</v>
      </c>
      <c r="H126" s="27" t="s">
        <v>555</v>
      </c>
      <c r="I126" s="27"/>
      <c r="J126" s="26" t="n">
        <v>5</v>
      </c>
      <c r="K126" s="26"/>
      <c r="L126" s="26" t="s">
        <v>483</v>
      </c>
      <c r="M126" s="26" t="s">
        <v>484</v>
      </c>
      <c r="N126" s="21" t="s">
        <v>133</v>
      </c>
      <c r="O126" s="27" t="s">
        <v>162</v>
      </c>
      <c r="P126" s="27" t="s">
        <v>59</v>
      </c>
      <c r="Q126" s="27" t="s">
        <v>171</v>
      </c>
      <c r="R126" s="27"/>
      <c r="S126" s="29" t="str">
        <f aca="false">G126&amp;IF(H126="","",CHAR(10)&amp;CHAR(10)&amp;"Criterios de aceptación:"&amp;CHAR(10)&amp;H126)</f>
        <v>Tarjetas y gráfico por dimensión; distribución de categorías.
Criterios de aceptación:
• Coincide con el endpoint.</v>
      </c>
    </row>
    <row r="127" customFormat="false" ht="27.75" hidden="false" customHeight="true" outlineLevel="0" collapsed="false">
      <c r="A127" s="26" t="n">
        <v>126</v>
      </c>
      <c r="B127" s="26" t="n">
        <v>124</v>
      </c>
      <c r="C127" s="27" t="s">
        <v>147</v>
      </c>
      <c r="D127" s="27" t="s">
        <v>92</v>
      </c>
      <c r="E127" s="27" t="s">
        <v>34</v>
      </c>
      <c r="F127" s="28" t="s">
        <v>556</v>
      </c>
      <c r="G127" s="27" t="s">
        <v>557</v>
      </c>
      <c r="H127" s="27" t="s">
        <v>558</v>
      </c>
      <c r="I127" s="27"/>
      <c r="J127" s="26" t="n">
        <v>5</v>
      </c>
      <c r="K127" s="26"/>
      <c r="L127" s="26" t="s">
        <v>483</v>
      </c>
      <c r="M127" s="26" t="s">
        <v>484</v>
      </c>
      <c r="N127" s="21" t="s">
        <v>133</v>
      </c>
      <c r="O127" s="27" t="s">
        <v>162</v>
      </c>
      <c r="P127" s="27" t="s">
        <v>59</v>
      </c>
      <c r="Q127" s="27" t="s">
        <v>171</v>
      </c>
      <c r="R127" s="27"/>
      <c r="S127" s="29" t="str">
        <f aca="false">G127&amp;IF(H127="","",CHAR(10)&amp;CHAR(10)&amp;"Criterios de aceptación:"&amp;CHAR(10)&amp;H127)</f>
        <v>DataGrid/Table ordenable, búsqueda, enlace al detalle del estudiante.
Criterios de aceptación:
• Ordena por puntaje y categoría.</v>
      </c>
    </row>
    <row r="128" customFormat="false" ht="27.75" hidden="false" customHeight="true" outlineLevel="0" collapsed="false">
      <c r="A128" s="26" t="n">
        <v>127</v>
      </c>
      <c r="B128" s="26" t="n">
        <v>124</v>
      </c>
      <c r="C128" s="27" t="s">
        <v>147</v>
      </c>
      <c r="D128" s="27" t="s">
        <v>92</v>
      </c>
      <c r="E128" s="27" t="s">
        <v>34</v>
      </c>
      <c r="F128" s="28" t="s">
        <v>559</v>
      </c>
      <c r="G128" s="27" t="s">
        <v>560</v>
      </c>
      <c r="H128" s="27" t="s">
        <v>561</v>
      </c>
      <c r="I128" s="27"/>
      <c r="J128" s="26" t="n">
        <v>2</v>
      </c>
      <c r="K128" s="26"/>
      <c r="L128" s="26" t="s">
        <v>483</v>
      </c>
      <c r="M128" s="26" t="s">
        <v>484</v>
      </c>
      <c r="N128" s="21" t="s">
        <v>133</v>
      </c>
      <c r="O128" s="27" t="s">
        <v>162</v>
      </c>
      <c r="P128" s="27" t="s">
        <v>59</v>
      </c>
      <c r="Q128" s="27" t="s">
        <v>171</v>
      </c>
      <c r="R128" s="27"/>
      <c r="S128" s="29" t="str">
        <f aca="false">G128&amp;IF(H128="","",CHAR(10)&amp;CHAR(10)&amp;"Criterios de aceptación:"&amp;CHAR(10)&amp;H128)</f>
        <v>Filtros sincronizados con la URL.
Criterios de aceptación:
• Al recargar se conservan.</v>
      </c>
    </row>
    <row r="129" customFormat="false" ht="56.25" hidden="false" customHeight="true" outlineLevel="0" collapsed="false">
      <c r="A129" s="20" t="n">
        <v>128</v>
      </c>
      <c r="B129" s="20"/>
      <c r="C129" s="9" t="s">
        <v>126</v>
      </c>
      <c r="D129" s="9" t="s">
        <v>92</v>
      </c>
      <c r="E129" s="9" t="s">
        <v>34</v>
      </c>
      <c r="F129" s="8" t="s">
        <v>562</v>
      </c>
      <c r="G129" s="9" t="s">
        <v>563</v>
      </c>
      <c r="H129" s="9" t="s">
        <v>564</v>
      </c>
      <c r="I129" s="9" t="s">
        <v>565</v>
      </c>
      <c r="J129" s="20"/>
      <c r="K129" s="20" t="n">
        <f aca="false">IF(COUNTIF($B$2:$B$150,A129)&gt;0,SUMIFS($J$2:$J$150,$B$2:$B$150,A129)+N(J129),J129)</f>
        <v>8</v>
      </c>
      <c r="L129" s="20" t="s">
        <v>483</v>
      </c>
      <c r="M129" s="20" t="s">
        <v>484</v>
      </c>
      <c r="N129" s="24" t="s">
        <v>139</v>
      </c>
      <c r="O129" s="9" t="s">
        <v>162</v>
      </c>
      <c r="P129" s="9" t="s">
        <v>53</v>
      </c>
      <c r="Q129" s="9" t="s">
        <v>566</v>
      </c>
      <c r="R129" s="9"/>
      <c r="S129" s="23" t="str">
        <f aca="false">G129&amp;IF(H129="","",CHAR(10)&amp;CHAR(10)&amp;"Criterios de aceptación:"&amp;CHAR(10)&amp;H129)</f>
        <v>Endpoint y vista del historial de diagnósticos e intentos de práctica, con filtros por fecha, tipo de actividad y competencia; el docente lo ve para sus estudiantes.
Criterios de aceptación:
• Paginado (20 por página).
• Estudiante ve solo lo suyo; docente solo de sus grupos.</v>
      </c>
    </row>
    <row r="130" customFormat="false" ht="27.75" hidden="false" customHeight="true" outlineLevel="0" collapsed="false">
      <c r="A130" s="26" t="n">
        <v>129</v>
      </c>
      <c r="B130" s="26" t="n">
        <v>128</v>
      </c>
      <c r="C130" s="27" t="s">
        <v>147</v>
      </c>
      <c r="D130" s="27" t="s">
        <v>92</v>
      </c>
      <c r="E130" s="27" t="s">
        <v>34</v>
      </c>
      <c r="F130" s="28" t="s">
        <v>567</v>
      </c>
      <c r="G130" s="27" t="s">
        <v>568</v>
      </c>
      <c r="H130" s="27" t="s">
        <v>569</v>
      </c>
      <c r="I130" s="27"/>
      <c r="J130" s="26" t="n">
        <v>4</v>
      </c>
      <c r="K130" s="26"/>
      <c r="L130" s="26" t="s">
        <v>483</v>
      </c>
      <c r="M130" s="26" t="s">
        <v>484</v>
      </c>
      <c r="N130" s="24" t="s">
        <v>139</v>
      </c>
      <c r="O130" s="27" t="s">
        <v>162</v>
      </c>
      <c r="P130" s="27" t="s">
        <v>53</v>
      </c>
      <c r="Q130" s="27" t="s">
        <v>146</v>
      </c>
      <c r="R130" s="27"/>
      <c r="S130" s="29" t="str">
        <f aca="false">G130&amp;IF(H130="","",CHAR(10)&amp;CHAR(10)&amp;"Criterios de aceptación:"&amp;CHAR(10)&amp;H130)</f>
        <v>GET /api/historial?tipo&amp;competencia&amp;desde&amp;hasta&amp;page.
Criterios de aceptación:
• Filtros y paginación probados.</v>
      </c>
    </row>
    <row r="131" customFormat="false" ht="28.5" hidden="false" customHeight="true" outlineLevel="0" collapsed="false">
      <c r="A131" s="26" t="n">
        <v>130</v>
      </c>
      <c r="B131" s="26" t="n">
        <v>128</v>
      </c>
      <c r="C131" s="27" t="s">
        <v>147</v>
      </c>
      <c r="D131" s="27" t="s">
        <v>92</v>
      </c>
      <c r="E131" s="27" t="s">
        <v>34</v>
      </c>
      <c r="F131" s="28" t="s">
        <v>570</v>
      </c>
      <c r="G131" s="27" t="s">
        <v>571</v>
      </c>
      <c r="H131" s="27" t="s">
        <v>572</v>
      </c>
      <c r="I131" s="27"/>
      <c r="J131" s="26" t="n">
        <v>4</v>
      </c>
      <c r="K131" s="26"/>
      <c r="L131" s="26" t="s">
        <v>483</v>
      </c>
      <c r="M131" s="26" t="s">
        <v>484</v>
      </c>
      <c r="N131" s="24" t="s">
        <v>139</v>
      </c>
      <c r="O131" s="27" t="s">
        <v>162</v>
      </c>
      <c r="P131" s="27" t="s">
        <v>57</v>
      </c>
      <c r="Q131" s="27" t="s">
        <v>171</v>
      </c>
      <c r="R131" s="27"/>
      <c r="S131" s="29" t="str">
        <f aca="false">G131&amp;IF(H131="","",CHAR(10)&amp;CHAR(10)&amp;"Criterios de aceptación:"&amp;CHAR(10)&amp;H131)</f>
        <v>Tabla con filtros en /estudiante/progreso y en el detalle del estudiante del docente.
Criterios de aceptación:
• Reutiliza el mismo componente.</v>
      </c>
    </row>
    <row r="132" customFormat="false" ht="51" hidden="false" customHeight="true" outlineLevel="0" collapsed="false">
      <c r="A132" s="20" t="n">
        <v>131</v>
      </c>
      <c r="B132" s="20"/>
      <c r="C132" s="9" t="s">
        <v>126</v>
      </c>
      <c r="D132" s="9" t="s">
        <v>92</v>
      </c>
      <c r="E132" s="9" t="s">
        <v>34</v>
      </c>
      <c r="F132" s="8" t="s">
        <v>573</v>
      </c>
      <c r="G132" s="9" t="s">
        <v>574</v>
      </c>
      <c r="H132" s="9" t="s">
        <v>575</v>
      </c>
      <c r="I132" s="9" t="s">
        <v>576</v>
      </c>
      <c r="J132" s="20" t="n">
        <v>8</v>
      </c>
      <c r="K132" s="20" t="n">
        <f aca="false">IF(COUNTIF($B$2:$B$150,A132)&gt;0,SUMIFS($J$2:$J$150,$B$2:$B$150,A132)+N(J132),J132)</f>
        <v>8</v>
      </c>
      <c r="L132" s="20" t="s">
        <v>483</v>
      </c>
      <c r="M132" s="20" t="s">
        <v>484</v>
      </c>
      <c r="N132" s="24" t="s">
        <v>139</v>
      </c>
      <c r="O132" s="9" t="s">
        <v>162</v>
      </c>
      <c r="P132" s="9" t="s">
        <v>55</v>
      </c>
      <c r="Q132" s="9" t="s">
        <v>146</v>
      </c>
      <c r="R132" s="9"/>
      <c r="S132" s="23" t="str">
        <f aca="false">G132&amp;IF(H132="","",CHAR(10)&amp;CHAR(10)&amp;"Criterios de aceptación:"&amp;CHAR(10)&amp;H132)</f>
        <v>Patrones agregados del grupo: dimensiones con mayor dificultad, ejercicios con más errores y evolución general del curso.
Criterios de aceptación:
• Top 5 de ejercicios con más errores y dimensión más débil por grupo.
• Visibles en el dashboard docente.</v>
      </c>
    </row>
    <row r="133" customFormat="false" ht="76.5" hidden="false" customHeight="true" outlineLevel="0" collapsed="false">
      <c r="A133" s="20" t="n">
        <v>132</v>
      </c>
      <c r="B133" s="20"/>
      <c r="C133" s="9" t="s">
        <v>206</v>
      </c>
      <c r="D133" s="9" t="s">
        <v>96</v>
      </c>
      <c r="E133" s="9" t="s">
        <v>34</v>
      </c>
      <c r="F133" s="8" t="s">
        <v>577</v>
      </c>
      <c r="G133" s="9" t="s">
        <v>578</v>
      </c>
      <c r="H133" s="9" t="s">
        <v>579</v>
      </c>
      <c r="I133" s="9" t="s">
        <v>580</v>
      </c>
      <c r="J133" s="20"/>
      <c r="K133" s="20" t="n">
        <f aca="false">IF(COUNTIF($B$2:$B$150,A133)&gt;0,SUMIFS($J$2:$J$150,$B$2:$B$150,A133)+N(J133),J133)</f>
        <v>10</v>
      </c>
      <c r="L133" s="20" t="s">
        <v>483</v>
      </c>
      <c r="M133" s="20" t="s">
        <v>484</v>
      </c>
      <c r="N133" s="24" t="s">
        <v>139</v>
      </c>
      <c r="O133" s="9" t="s">
        <v>162</v>
      </c>
      <c r="P133" s="9" t="s">
        <v>53</v>
      </c>
      <c r="Q133" s="9" t="s">
        <v>566</v>
      </c>
      <c r="R133" s="9"/>
      <c r="S133" s="23" t="str">
        <f aca="false">G133&amp;IF(H133="","",CHAR(10)&amp;CHAR(10)&amp;"Criterios de aceptación:"&amp;CHAR(10)&amp;H133)</f>
        <v>Como docente quiero crear, editar, activar/desactivar y eliminar las actividades de práctica de mis estudiantes.
Criterios de aceptación:
• CRUD completo con validación y confirmación antes de eliminar.
• Un ejercicio con intentos no se borra: se desactiva.
• El motor solo usa ejercicios activos.</v>
      </c>
    </row>
    <row r="134" customFormat="false" ht="27.75" hidden="false" customHeight="true" outlineLevel="0" collapsed="false">
      <c r="A134" s="26" t="n">
        <v>133</v>
      </c>
      <c r="B134" s="26" t="n">
        <v>132</v>
      </c>
      <c r="C134" s="27" t="s">
        <v>147</v>
      </c>
      <c r="D134" s="27" t="s">
        <v>96</v>
      </c>
      <c r="E134" s="27" t="s">
        <v>34</v>
      </c>
      <c r="F134" s="28" t="s">
        <v>581</v>
      </c>
      <c r="G134" s="27" t="s">
        <v>582</v>
      </c>
      <c r="H134" s="27" t="s">
        <v>583</v>
      </c>
      <c r="I134" s="27"/>
      <c r="J134" s="26" t="n">
        <v>5</v>
      </c>
      <c r="K134" s="26"/>
      <c r="L134" s="26" t="s">
        <v>483</v>
      </c>
      <c r="M134" s="26" t="s">
        <v>484</v>
      </c>
      <c r="N134" s="24" t="s">
        <v>139</v>
      </c>
      <c r="O134" s="27" t="s">
        <v>162</v>
      </c>
      <c r="P134" s="27" t="s">
        <v>53</v>
      </c>
      <c r="Q134" s="27" t="s">
        <v>146</v>
      </c>
      <c r="R134" s="27"/>
      <c r="S134" s="29" t="str">
        <f aca="false">G134&amp;IF(H134="","",CHAR(10)&amp;CHAR(10)&amp;"Criterios de aceptación:"&amp;CHAR(10)&amp;H134)</f>
        <v>Endpoints /api/contenidos y /api/ejercicios para DOCENTE.
Criterios de aceptación:
• Validación y 403 para otros roles.</v>
      </c>
    </row>
    <row r="135" customFormat="false" ht="31.5" hidden="false" customHeight="true" outlineLevel="0" collapsed="false">
      <c r="A135" s="26" t="n">
        <v>134</v>
      </c>
      <c r="B135" s="26" t="n">
        <v>132</v>
      </c>
      <c r="C135" s="27" t="s">
        <v>147</v>
      </c>
      <c r="D135" s="27" t="s">
        <v>96</v>
      </c>
      <c r="E135" s="27" t="s">
        <v>34</v>
      </c>
      <c r="F135" s="28" t="s">
        <v>584</v>
      </c>
      <c r="G135" s="27" t="s">
        <v>585</v>
      </c>
      <c r="H135" s="27" t="s">
        <v>586</v>
      </c>
      <c r="I135" s="27"/>
      <c r="J135" s="26" t="n">
        <v>5</v>
      </c>
      <c r="K135" s="26"/>
      <c r="L135" s="26" t="s">
        <v>483</v>
      </c>
      <c r="M135" s="26" t="s">
        <v>484</v>
      </c>
      <c r="N135" s="24" t="s">
        <v>139</v>
      </c>
      <c r="O135" s="27" t="s">
        <v>162</v>
      </c>
      <c r="P135" s="27" t="s">
        <v>53</v>
      </c>
      <c r="Q135" s="27" t="s">
        <v>171</v>
      </c>
      <c r="R135" s="27"/>
      <c r="S135" s="29" t="str">
        <f aca="false">G135&amp;IF(H135="","",CHAR(10)&amp;CHAR(10)&amp;"Criterios de aceptación:"&amp;CHAR(10)&amp;H135)</f>
        <v>Lista con filtros, formulario (react-hook-form + zod, vista previa con MathText), activar/desactivar.
Criterios de aceptación:
• Crear un ejercicio y verlo en la práctica.</v>
      </c>
    </row>
    <row r="136" customFormat="false" ht="63" hidden="false" customHeight="true" outlineLevel="0" collapsed="false">
      <c r="A136" s="20" t="n">
        <v>135</v>
      </c>
      <c r="B136" s="20"/>
      <c r="C136" s="9" t="s">
        <v>126</v>
      </c>
      <c r="D136" s="9" t="s">
        <v>105</v>
      </c>
      <c r="E136" s="9" t="s">
        <v>34</v>
      </c>
      <c r="F136" s="8" t="s">
        <v>587</v>
      </c>
      <c r="G136" s="9" t="s">
        <v>588</v>
      </c>
      <c r="H136" s="9" t="s">
        <v>589</v>
      </c>
      <c r="I136" s="9" t="s">
        <v>590</v>
      </c>
      <c r="J136" s="20" t="n">
        <v>6</v>
      </c>
      <c r="K136" s="20" t="n">
        <f aca="false">IF(COUNTIF($B$2:$B$150,A136)&gt;0,SUMIFS($J$2:$J$150,$B$2:$B$150,A136)+N(J136),J136)</f>
        <v>6</v>
      </c>
      <c r="L136" s="20" t="s">
        <v>483</v>
      </c>
      <c r="M136" s="20" t="s">
        <v>484</v>
      </c>
      <c r="N136" s="24" t="s">
        <v>139</v>
      </c>
      <c r="O136" s="9" t="s">
        <v>162</v>
      </c>
      <c r="P136" s="9" t="s">
        <v>53</v>
      </c>
      <c r="Q136" s="9" t="s">
        <v>400</v>
      </c>
      <c r="R136" s="9"/>
      <c r="S136" s="23" t="str">
        <f aca="false">G136&amp;IF(H136="","",CHAR(10)&amp;CHAR(10)&amp;"Criterios de aceptación:"&amp;CHAR(10)&amp;H136)</f>
        <v>Medir el tiempo de respuesta de /api/practica/siguiente y de la finalización del diagnóstico bajo carga simulada y fijar el umbral de RNF-02.
Criterios de aceptación:
• Script de carga (k6 o JMeter) en el repo.
• p95 &lt; 1 s con 30 usuarios concurrentes (ajustar tras la primera medición) y resultado registrado para el cap. 7.</v>
      </c>
    </row>
    <row r="137" customFormat="false" ht="77.25" hidden="false" customHeight="true" outlineLevel="0" collapsed="false">
      <c r="A137" s="20" t="n">
        <v>136</v>
      </c>
      <c r="B137" s="20"/>
      <c r="C137" s="9" t="s">
        <v>206</v>
      </c>
      <c r="D137" s="9" t="s">
        <v>96</v>
      </c>
      <c r="E137" s="9" t="s">
        <v>39</v>
      </c>
      <c r="F137" s="8" t="s">
        <v>591</v>
      </c>
      <c r="G137" s="9" t="s">
        <v>592</v>
      </c>
      <c r="H137" s="9" t="s">
        <v>593</v>
      </c>
      <c r="I137" s="9" t="s">
        <v>594</v>
      </c>
      <c r="J137" s="20"/>
      <c r="K137" s="20" t="n">
        <f aca="false">IF(COUNTIF($B$2:$B$150,A137)&gt;0,SUMIFS($J$2:$J$150,$B$2:$B$150,A137)+N(J137),J137)</f>
        <v>10</v>
      </c>
      <c r="L137" s="20" t="s">
        <v>595</v>
      </c>
      <c r="M137" s="20" t="s">
        <v>596</v>
      </c>
      <c r="N137" s="24" t="s">
        <v>139</v>
      </c>
      <c r="O137" s="9" t="s">
        <v>162</v>
      </c>
      <c r="P137" s="9" t="s">
        <v>53</v>
      </c>
      <c r="Q137" s="9" t="s">
        <v>566</v>
      </c>
      <c r="R137" s="9"/>
      <c r="S137" s="23" t="str">
        <f aca="false">G137&amp;IF(H137="","",CHAR(10)&amp;CHAR(10)&amp;"Criterios de aceptación:"&amp;CHAR(10)&amp;H137)</f>
        <v>Como administrador quiero crear, editar, desactivar usuarios y cambiar su rol.
Criterios de aceptación:
• CRUD de usuarios con búsqueda y filtros por rol y estado.
• Un usuario desactivado no puede iniciar sesión.
• El administrador no puede desactivarse a sí mismo.</v>
      </c>
    </row>
    <row r="138" customFormat="false" ht="27.75" hidden="false" customHeight="true" outlineLevel="0" collapsed="false">
      <c r="A138" s="26" t="n">
        <v>137</v>
      </c>
      <c r="B138" s="26" t="n">
        <v>136</v>
      </c>
      <c r="C138" s="27" t="s">
        <v>147</v>
      </c>
      <c r="D138" s="27" t="s">
        <v>96</v>
      </c>
      <c r="E138" s="27" t="s">
        <v>39</v>
      </c>
      <c r="F138" s="28" t="s">
        <v>597</v>
      </c>
      <c r="G138" s="27" t="s">
        <v>598</v>
      </c>
      <c r="H138" s="27" t="s">
        <v>599</v>
      </c>
      <c r="I138" s="27"/>
      <c r="J138" s="26" t="n">
        <v>5</v>
      </c>
      <c r="K138" s="26"/>
      <c r="L138" s="26" t="s">
        <v>595</v>
      </c>
      <c r="M138" s="26" t="s">
        <v>596</v>
      </c>
      <c r="N138" s="24" t="s">
        <v>139</v>
      </c>
      <c r="O138" s="27" t="s">
        <v>162</v>
      </c>
      <c r="P138" s="27" t="s">
        <v>53</v>
      </c>
      <c r="Q138" s="27" t="s">
        <v>146</v>
      </c>
      <c r="R138" s="27"/>
      <c r="S138" s="29" t="str">
        <f aca="false">G138&amp;IF(H138="","",CHAR(10)&amp;CHAR(10)&amp;"Criterios de aceptación:"&amp;CHAR(10)&amp;H138)</f>
        <v>/api/admin/usuarios solo ADMIN, contraseña temporal al crear.
Criterios de aceptación:
• Pruebas de permisos.</v>
      </c>
    </row>
    <row r="139" customFormat="false" ht="27.75" hidden="false" customHeight="true" outlineLevel="0" collapsed="false">
      <c r="A139" s="26" t="n">
        <v>138</v>
      </c>
      <c r="B139" s="26" t="n">
        <v>136</v>
      </c>
      <c r="C139" s="27" t="s">
        <v>147</v>
      </c>
      <c r="D139" s="27" t="s">
        <v>96</v>
      </c>
      <c r="E139" s="27" t="s">
        <v>39</v>
      </c>
      <c r="F139" s="28" t="s">
        <v>600</v>
      </c>
      <c r="G139" s="27" t="s">
        <v>601</v>
      </c>
      <c r="H139" s="27" t="s">
        <v>602</v>
      </c>
      <c r="I139" s="27"/>
      <c r="J139" s="26" t="n">
        <v>5</v>
      </c>
      <c r="K139" s="26"/>
      <c r="L139" s="26" t="s">
        <v>595</v>
      </c>
      <c r="M139" s="26" t="s">
        <v>596</v>
      </c>
      <c r="N139" s="24" t="s">
        <v>139</v>
      </c>
      <c r="O139" s="27" t="s">
        <v>162</v>
      </c>
      <c r="P139" s="27" t="s">
        <v>53</v>
      </c>
      <c r="Q139" s="27" t="s">
        <v>171</v>
      </c>
      <c r="R139" s="27"/>
      <c r="S139" s="29" t="str">
        <f aca="false">G139&amp;IF(H139="","",CHAR(10)&amp;CHAR(10)&amp;"Criterios de aceptación:"&amp;CHAR(10)&amp;H139)</f>
        <v>Tabla, formulario y diálogo de confirmación.
Criterios de aceptación:
• Flujo completo en staging.</v>
      </c>
    </row>
    <row r="140" customFormat="false" ht="36.75" hidden="false" customHeight="true" outlineLevel="0" collapsed="false">
      <c r="A140" s="20" t="n">
        <v>139</v>
      </c>
      <c r="B140" s="20"/>
      <c r="C140" s="9" t="s">
        <v>126</v>
      </c>
      <c r="D140" s="9" t="s">
        <v>96</v>
      </c>
      <c r="E140" s="9" t="s">
        <v>39</v>
      </c>
      <c r="F140" s="8" t="s">
        <v>603</v>
      </c>
      <c r="G140" s="9" t="s">
        <v>604</v>
      </c>
      <c r="H140" s="9" t="s">
        <v>605</v>
      </c>
      <c r="I140" s="9" t="s">
        <v>594</v>
      </c>
      <c r="J140" s="20" t="n">
        <v>8</v>
      </c>
      <c r="K140" s="20" t="n">
        <f aca="false">IF(COUNTIF($B$2:$B$150,A140)&gt;0,SUMIFS($J$2:$J$150,$B$2:$B$150,A140)+N(J140),J140)</f>
        <v>8</v>
      </c>
      <c r="L140" s="20" t="s">
        <v>595</v>
      </c>
      <c r="M140" s="20" t="s">
        <v>596</v>
      </c>
      <c r="N140" s="24" t="s">
        <v>139</v>
      </c>
      <c r="O140" s="9" t="s">
        <v>162</v>
      </c>
      <c r="P140" s="9" t="s">
        <v>57</v>
      </c>
      <c r="Q140" s="9" t="s">
        <v>171</v>
      </c>
      <c r="R140" s="9"/>
      <c r="S140" s="23" t="str">
        <f aca="false">G140&amp;IF(H140="","",CHAR(10)&amp;CHAR(10)&amp;"Criterios de aceptación:"&amp;CHAR(10)&amp;H140)</f>
        <v>Vista consolidada del administrador: totales de usuarios por rol, grupos activos y actividades activas, con accesos a cada gestión.
Criterios de aceptación:
• Muestra conteos reales y enlaces funcionales.</v>
      </c>
    </row>
    <row r="141" customFormat="false" ht="39" hidden="false" customHeight="true" outlineLevel="0" collapsed="false">
      <c r="A141" s="20" t="n">
        <v>140</v>
      </c>
      <c r="B141" s="20"/>
      <c r="C141" s="9" t="s">
        <v>126</v>
      </c>
      <c r="D141" s="9" t="s">
        <v>101</v>
      </c>
      <c r="E141" s="9" t="s">
        <v>39</v>
      </c>
      <c r="F141" s="8" t="s">
        <v>606</v>
      </c>
      <c r="G141" s="9" t="s">
        <v>607</v>
      </c>
      <c r="H141" s="9" t="s">
        <v>608</v>
      </c>
      <c r="I141" s="9" t="s">
        <v>130</v>
      </c>
      <c r="J141" s="20" t="n">
        <v>14</v>
      </c>
      <c r="K141" s="20" t="n">
        <f aca="false">IF(COUNTIF($B$2:$B$150,A141)&gt;0,SUMIFS($J$2:$J$150,$B$2:$B$150,A141)+N(J141),J141)</f>
        <v>14</v>
      </c>
      <c r="L141" s="20" t="s">
        <v>595</v>
      </c>
      <c r="M141" s="20" t="s">
        <v>596</v>
      </c>
      <c r="N141" s="21" t="s">
        <v>133</v>
      </c>
      <c r="O141" s="9" t="s">
        <v>162</v>
      </c>
      <c r="P141" s="9" t="s">
        <v>55</v>
      </c>
      <c r="Q141" s="9" t="s">
        <v>566</v>
      </c>
      <c r="R141" s="9"/>
      <c r="S141" s="23" t="str">
        <f aca="false">G141&amp;IF(H141="","",CHAR(10)&amp;CHAR(10)&amp;"Criterios de aceptación:"&amp;CHAR(10)&amp;H141)</f>
        <v>Ensamblar todos los módulos en develop y staging, verificando que compartan usuarios, roles y datos, y recorrer los flujos completos por rol.
Criterios de aceptación:
• Los 3 flujos completos (estudiante, docente, admin) funcionan en staging sin intervención manual en la BD.</v>
      </c>
    </row>
    <row r="142" customFormat="false" ht="48" hidden="false" customHeight="true" outlineLevel="0" collapsed="false">
      <c r="A142" s="20" t="n">
        <v>141</v>
      </c>
      <c r="B142" s="20"/>
      <c r="C142" s="9" t="s">
        <v>126</v>
      </c>
      <c r="D142" s="9" t="s">
        <v>101</v>
      </c>
      <c r="E142" s="9" t="s">
        <v>39</v>
      </c>
      <c r="F142" s="8" t="s">
        <v>609</v>
      </c>
      <c r="G142" s="9" t="s">
        <v>610</v>
      </c>
      <c r="H142" s="9" t="s">
        <v>611</v>
      </c>
      <c r="I142" s="9" t="s">
        <v>104</v>
      </c>
      <c r="J142" s="20" t="n">
        <v>12</v>
      </c>
      <c r="K142" s="20" t="n">
        <f aca="false">IF(COUNTIF($B$2:$B$150,A142)&gt;0,SUMIFS($J$2:$J$150,$B$2:$B$150,A142)+N(J142),J142)</f>
        <v>12</v>
      </c>
      <c r="L142" s="20" t="s">
        <v>595</v>
      </c>
      <c r="M142" s="20" t="s">
        <v>596</v>
      </c>
      <c r="N142" s="21" t="s">
        <v>133</v>
      </c>
      <c r="O142" s="9" t="s">
        <v>162</v>
      </c>
      <c r="P142" s="9" t="s">
        <v>59</v>
      </c>
      <c r="Q142" s="9" t="s">
        <v>396</v>
      </c>
      <c r="R142" s="9"/>
      <c r="S142" s="23" t="str">
        <f aca="false">G142&amp;IF(H142="","",CHAR(10)&amp;CHAR(10)&amp;"Criterios de aceptación:"&amp;CHAR(10)&amp;H142)</f>
        <v>Ejecutar y documentar CA-01 a CA-16 con evidencia, y actualizar la matriz de trazabilidad (CP-01 a CP-08).
Criterios de aceptación:
• Cada CA con resultado Cumple / No cumple y evidencia.
• Defectos registrados en Jira como Bug.</v>
      </c>
    </row>
    <row r="143" customFormat="false" ht="38.25" hidden="false" customHeight="true" outlineLevel="0" collapsed="false">
      <c r="A143" s="20" t="n">
        <v>142</v>
      </c>
      <c r="B143" s="20"/>
      <c r="C143" s="9" t="s">
        <v>126</v>
      </c>
      <c r="D143" s="9" t="s">
        <v>101</v>
      </c>
      <c r="E143" s="9" t="s">
        <v>39</v>
      </c>
      <c r="F143" s="8" t="s">
        <v>612</v>
      </c>
      <c r="G143" s="9" t="s">
        <v>613</v>
      </c>
      <c r="H143" s="9" t="s">
        <v>614</v>
      </c>
      <c r="I143" s="9" t="s">
        <v>130</v>
      </c>
      <c r="J143" s="20" t="n">
        <v>10</v>
      </c>
      <c r="K143" s="20" t="n">
        <f aca="false">IF(COUNTIF($B$2:$B$150,A143)&gt;0,SUMIFS($J$2:$J$150,$B$2:$B$150,A143)+N(J143),J143)</f>
        <v>10</v>
      </c>
      <c r="L143" s="20" t="s">
        <v>595</v>
      </c>
      <c r="M143" s="20" t="s">
        <v>596</v>
      </c>
      <c r="N143" s="21" t="s">
        <v>133</v>
      </c>
      <c r="O143" s="9" t="s">
        <v>162</v>
      </c>
      <c r="P143" s="9" t="s">
        <v>55</v>
      </c>
      <c r="Q143" s="9" t="s">
        <v>566</v>
      </c>
      <c r="R143" s="9"/>
      <c r="S143" s="23" t="str">
        <f aca="false">G143&amp;IF(H143="","",CHAR(10)&amp;CHAR(10)&amp;"Criterios de aceptación:"&amp;CHAR(10)&amp;H143)</f>
        <v>Priorizar y corregir los defectos de integración y pruebas; cada uno lo corrige el responsable del módulo y se vuelve a verificar su CA.
Criterios de aceptación:
• Sin defectos de prioridad Alta abiertos al 11 nov.</v>
      </c>
    </row>
    <row r="144" customFormat="false" ht="79.5" hidden="false" customHeight="true" outlineLevel="0" collapsed="false">
      <c r="A144" s="20" t="n">
        <v>143</v>
      </c>
      <c r="B144" s="20"/>
      <c r="C144" s="9" t="s">
        <v>206</v>
      </c>
      <c r="D144" s="9" t="s">
        <v>101</v>
      </c>
      <c r="E144" s="9" t="s">
        <v>39</v>
      </c>
      <c r="F144" s="8" t="s">
        <v>615</v>
      </c>
      <c r="G144" s="9" t="s">
        <v>616</v>
      </c>
      <c r="H144" s="9" t="s">
        <v>617</v>
      </c>
      <c r="I144" s="9" t="s">
        <v>130</v>
      </c>
      <c r="J144" s="20" t="n">
        <v>8</v>
      </c>
      <c r="K144" s="20" t="n">
        <f aca="false">IF(COUNTIF($B$2:$B$150,A144)&gt;0,SUMIFS($J$2:$J$150,$B$2:$B$150,A144)+N(J144),J144)</f>
        <v>8</v>
      </c>
      <c r="L144" s="20" t="s">
        <v>595</v>
      </c>
      <c r="M144" s="20" t="s">
        <v>596</v>
      </c>
      <c r="N144" s="21" t="s">
        <v>133</v>
      </c>
      <c r="O144" s="9" t="s">
        <v>162</v>
      </c>
      <c r="P144" s="9" t="s">
        <v>59</v>
      </c>
      <c r="Q144" s="9" t="s">
        <v>396</v>
      </c>
      <c r="R144" s="9"/>
      <c r="S144" s="23" t="str">
        <f aca="false">G144&amp;IF(H144="","",CHAR(10)&amp;CHAR(10)&amp;"Criterios de aceptación:"&amp;CHAR(10)&amp;H144)</f>
        <v>Aplicar el protocolo de usabilidad con estudiantes y docentes piloto sobre staging.
Criterios de aceptación:
• Sesiones realizadas con los participantes definidos en el protocolo.
• Observaciones consolidadas en una tabla.
• Consentimiento informado y datos anonimizados (Ley 1581).</v>
      </c>
    </row>
    <row r="145" customFormat="false" ht="28.5" hidden="false" customHeight="true" outlineLevel="0" collapsed="false">
      <c r="A145" s="20" t="n">
        <v>144</v>
      </c>
      <c r="B145" s="20"/>
      <c r="C145" s="9" t="s">
        <v>126</v>
      </c>
      <c r="D145" s="9" t="s">
        <v>101</v>
      </c>
      <c r="E145" s="9" t="s">
        <v>39</v>
      </c>
      <c r="F145" s="8" t="s">
        <v>618</v>
      </c>
      <c r="G145" s="9" t="s">
        <v>619</v>
      </c>
      <c r="H145" s="9" t="s">
        <v>620</v>
      </c>
      <c r="I145" s="9" t="s">
        <v>477</v>
      </c>
      <c r="J145" s="20" t="n">
        <v>4</v>
      </c>
      <c r="K145" s="20" t="n">
        <f aca="false">IF(COUNTIF($B$2:$B$150,A145)&gt;0,SUMIFS($J$2:$J$150,$B$2:$B$150,A145)+N(J145),J145)</f>
        <v>4</v>
      </c>
      <c r="L145" s="20" t="s">
        <v>595</v>
      </c>
      <c r="M145" s="20" t="s">
        <v>596</v>
      </c>
      <c r="N145" s="24" t="s">
        <v>139</v>
      </c>
      <c r="O145" s="9" t="s">
        <v>162</v>
      </c>
      <c r="P145" s="9" t="s">
        <v>59</v>
      </c>
      <c r="Q145" s="9" t="s">
        <v>396</v>
      </c>
      <c r="R145" s="9"/>
      <c r="S145" s="23" t="str">
        <f aca="false">G145&amp;IF(H145="","",CHAR(10)&amp;CHAR(10)&amp;"Criterios de aceptación:"&amp;CHAR(10)&amp;H145)</f>
        <v>Aplicar SUS a los participantes y calcular el puntaje frente al umbral del protocolo.
Criterios de aceptación:
• Puntaje SUS calculado y comparado con el umbral de RNF-01.</v>
      </c>
    </row>
    <row r="146" customFormat="false" ht="57" hidden="false" customHeight="true" outlineLevel="0" collapsed="false">
      <c r="A146" s="20" t="n">
        <v>145</v>
      </c>
      <c r="B146" s="20"/>
      <c r="C146" s="9" t="s">
        <v>126</v>
      </c>
      <c r="D146" s="9" t="s">
        <v>101</v>
      </c>
      <c r="E146" s="9" t="s">
        <v>39</v>
      </c>
      <c r="F146" s="8" t="s">
        <v>621</v>
      </c>
      <c r="G146" s="9" t="s">
        <v>622</v>
      </c>
      <c r="H146" s="9" t="s">
        <v>623</v>
      </c>
      <c r="I146" s="9" t="s">
        <v>624</v>
      </c>
      <c r="J146" s="20" t="n">
        <v>8</v>
      </c>
      <c r="K146" s="20" t="n">
        <f aca="false">IF(COUNTIF($B$2:$B$150,A146)&gt;0,SUMIFS($J$2:$J$150,$B$2:$B$150,A146)+N(J146),J146)</f>
        <v>8</v>
      </c>
      <c r="L146" s="20" t="s">
        <v>595</v>
      </c>
      <c r="M146" s="20" t="s">
        <v>596</v>
      </c>
      <c r="N146" s="24" t="s">
        <v>139</v>
      </c>
      <c r="O146" s="9" t="s">
        <v>162</v>
      </c>
      <c r="P146" s="9" t="s">
        <v>57</v>
      </c>
      <c r="Q146" s="9" t="s">
        <v>500</v>
      </c>
      <c r="R146" s="9"/>
      <c r="S146" s="23" t="str">
        <f aca="false">G146&amp;IF(H146="","",CHAR(10)&amp;CHAR(10)&amp;"Criterios de aceptación:"&amp;CHAR(10)&amp;H146)</f>
        <v>Corregir hallazgos del piloto y verificar WCAG 2.1 AA en las pantallas principales.
Criterios de aceptación:
• Lighthouse Accessibility ≥ 90 en login, diagnóstico, práctica y dashboards.
• Todas las pantallas principales operables por teclado.</v>
      </c>
    </row>
    <row r="147" customFormat="false" ht="39" hidden="false" customHeight="true" outlineLevel="0" collapsed="false">
      <c r="A147" s="20" t="n">
        <v>146</v>
      </c>
      <c r="B147" s="20"/>
      <c r="C147" s="9" t="s">
        <v>126</v>
      </c>
      <c r="D147" s="9" t="s">
        <v>101</v>
      </c>
      <c r="E147" s="9" t="s">
        <v>39</v>
      </c>
      <c r="F147" s="8" t="s">
        <v>625</v>
      </c>
      <c r="G147" s="9" t="s">
        <v>626</v>
      </c>
      <c r="H147" s="9" t="s">
        <v>627</v>
      </c>
      <c r="I147" s="9" t="s">
        <v>130</v>
      </c>
      <c r="J147" s="20" t="n">
        <v>8</v>
      </c>
      <c r="K147" s="20" t="n">
        <f aca="false">IF(COUNTIF($B$2:$B$150,A147)&gt;0,SUMIFS($J$2:$J$150,$B$2:$B$150,A147)+N(J147),J147)</f>
        <v>8</v>
      </c>
      <c r="L147" s="20" t="s">
        <v>595</v>
      </c>
      <c r="M147" s="20" t="s">
        <v>596</v>
      </c>
      <c r="N147" s="21" t="s">
        <v>133</v>
      </c>
      <c r="O147" s="9" t="s">
        <v>162</v>
      </c>
      <c r="P147" s="9" t="s">
        <v>57</v>
      </c>
      <c r="Q147" s="9" t="s">
        <v>140</v>
      </c>
      <c r="R147" s="9"/>
      <c r="S147" s="23" t="str">
        <f aca="false">G147&amp;IF(H147="","",CHAR(10)&amp;CHAR(10)&amp;"Criterios de aceptación:"&amp;CHAR(10)&amp;H147)</f>
        <v>Manual técnico, diagrama de despliegue y guía de instalación con la arquitectura realmente implementada (insumo del capítulo 6 del informe).
Criterios de aceptación:
• README actualizados, diagrama de despliegue as-built y modelo de datos final exportado.</v>
      </c>
    </row>
    <row r="148" customFormat="false" ht="48.75" hidden="false" customHeight="true" outlineLevel="0" collapsed="false">
      <c r="A148" s="20" t="n">
        <v>147</v>
      </c>
      <c r="B148" s="20"/>
      <c r="C148" s="9" t="s">
        <v>126</v>
      </c>
      <c r="D148" s="9" t="s">
        <v>101</v>
      </c>
      <c r="E148" s="9" t="s">
        <v>39</v>
      </c>
      <c r="F148" s="8" t="s">
        <v>628</v>
      </c>
      <c r="G148" s="9" t="s">
        <v>629</v>
      </c>
      <c r="H148" s="9" t="s">
        <v>630</v>
      </c>
      <c r="I148" s="9" t="s">
        <v>130</v>
      </c>
      <c r="J148" s="20" t="n">
        <v>4</v>
      </c>
      <c r="K148" s="20" t="n">
        <f aca="false">IF(COUNTIF($B$2:$B$150,A148)&gt;0,SUMIFS($J$2:$J$150,$B$2:$B$150,A148)+N(J148),J148)</f>
        <v>4</v>
      </c>
      <c r="L148" s="20" t="s">
        <v>595</v>
      </c>
      <c r="M148" s="20" t="s">
        <v>596</v>
      </c>
      <c r="N148" s="21" t="s">
        <v>133</v>
      </c>
      <c r="O148" s="9" t="s">
        <v>162</v>
      </c>
      <c r="P148" s="9" t="s">
        <v>53</v>
      </c>
      <c r="Q148" s="9" t="s">
        <v>135</v>
      </c>
      <c r="R148" s="9"/>
      <c r="S148" s="23" t="str">
        <f aca="false">G148&amp;IF(H148="","",CHAR(10)&amp;CHAR(10)&amp;"Criterios de aceptación:"&amp;CHAR(10)&amp;H148)</f>
        <v>Checklist final, tag v1.0.0, datos y cuentas para la demostración de la sustentación.
Criterios de aceptación:
• Tag v1.0.0 en main de ambos repos.
• Staging con datos de demostración y guion de demo probado.</v>
      </c>
    </row>
    <row r="149" customFormat="false" ht="76.5" hidden="false" customHeight="true" outlineLevel="0" collapsed="false">
      <c r="A149" s="20" t="n">
        <v>148</v>
      </c>
      <c r="B149" s="20"/>
      <c r="C149" s="9" t="s">
        <v>126</v>
      </c>
      <c r="D149" s="9" t="s">
        <v>105</v>
      </c>
      <c r="E149" s="9" t="s">
        <v>39</v>
      </c>
      <c r="F149" s="8" t="s">
        <v>631</v>
      </c>
      <c r="G149" s="9" t="s">
        <v>632</v>
      </c>
      <c r="H149" s="9" t="s">
        <v>633</v>
      </c>
      <c r="I149" s="9" t="s">
        <v>634</v>
      </c>
      <c r="J149" s="20" t="n">
        <v>8</v>
      </c>
      <c r="K149" s="20" t="n">
        <f aca="false">IF(COUNTIF($B$2:$B$150,A149)&gt;0,SUMIFS($J$2:$J$150,$B$2:$B$150,A149)+N(J149),J149)</f>
        <v>8</v>
      </c>
      <c r="L149" s="20" t="s">
        <v>595</v>
      </c>
      <c r="M149" s="20" t="s">
        <v>596</v>
      </c>
      <c r="N149" s="21" t="s">
        <v>133</v>
      </c>
      <c r="O149" s="9" t="s">
        <v>162</v>
      </c>
      <c r="P149" s="9" t="s">
        <v>53</v>
      </c>
      <c r="Q149" s="9" t="s">
        <v>635</v>
      </c>
      <c r="R149" s="9"/>
      <c r="S149" s="23" t="str">
        <f aca="false">G149&amp;IF(H149="","",CHAR(10)&amp;CHAR(10)&amp;"Criterios de aceptación:"&amp;CHAR(10)&amp;H149)</f>
        <v>Revisar todos los endpoints: autenticación, autorización por rol y por grupo, validación de entradas, exposición de datos sensibles y cabeceras de seguridad.
Criterios de aceptación:
• Matriz endpoint × rol probada automáticamente.
• Ninguna respuesta expone password_hash ni claves de respuesta.
• Secretos de staging rotados y fuera del repo.</v>
      </c>
    </row>
    <row r="150" customFormat="false" ht="30" hidden="false" customHeight="true" outlineLevel="0" collapsed="false">
      <c r="A150" s="20" t="n">
        <v>149</v>
      </c>
      <c r="B150" s="20"/>
      <c r="C150" s="9" t="s">
        <v>126</v>
      </c>
      <c r="D150" s="9" t="s">
        <v>105</v>
      </c>
      <c r="E150" s="9" t="s">
        <v>39</v>
      </c>
      <c r="F150" s="8" t="s">
        <v>636</v>
      </c>
      <c r="G150" s="9" t="s">
        <v>637</v>
      </c>
      <c r="H150" s="9" t="s">
        <v>638</v>
      </c>
      <c r="I150" s="9" t="s">
        <v>639</v>
      </c>
      <c r="J150" s="20" t="n">
        <v>6</v>
      </c>
      <c r="K150" s="20" t="n">
        <f aca="false">IF(COUNTIF($B$2:$B$150,A150)&gt;0,SUMIFS($J$2:$J$150,$B$2:$B$150,A150)+N(J150),J150)</f>
        <v>6</v>
      </c>
      <c r="L150" s="20" t="s">
        <v>595</v>
      </c>
      <c r="M150" s="20" t="s">
        <v>596</v>
      </c>
      <c r="N150" s="24" t="s">
        <v>139</v>
      </c>
      <c r="O150" s="9" t="s">
        <v>162</v>
      </c>
      <c r="P150" s="9" t="s">
        <v>53</v>
      </c>
      <c r="Q150" s="9" t="s">
        <v>400</v>
      </c>
      <c r="R150" s="9"/>
      <c r="S150" s="23" t="str">
        <f aca="false">G150&amp;IF(H150="","",CHAR(10)&amp;CHAR(10)&amp;"Criterios de aceptación:"&amp;CHAR(10)&amp;H150)</f>
        <v>Verificar bajo envíos simultáneos que no se dupliquen intentos ni respuestas del diagnóstico.
Criterios de aceptación:
• 50 envíos simultáneos del mismo intento producen un solo registro.</v>
      </c>
    </row>
  </sheetData>
  <autoFilter ref="A1:S150"/>
  <dataValidations count="4">
    <dataValidation allowBlank="true" errorStyle="stop" operator="between" showDropDown="false" showErrorMessage="false" showInputMessage="false" sqref="O2:O150" type="list">
      <formula1>"Por hacer,En curso,En revisión,Hecho"</formula1>
      <formula2>0</formula2>
    </dataValidation>
    <dataValidation allowBlank="true" errorStyle="stop" operator="between" showDropDown="false" showErrorMessage="false" showInputMessage="false" sqref="N2:N150" type="list">
      <formula1>"Alta,Media,Baja"</formula1>
      <formula2>0</formula2>
    </dataValidation>
    <dataValidation allowBlank="true" errorStyle="stop" operator="between" showDropDown="false" showErrorMessage="false" showInputMessage="false" sqref="P2:P150" type="list">
      <formula1>"Jorel Vargas,Juan David Polanco,Nicolás Pérez,Fernando Pérez"</formula1>
      <formula2>0</formula2>
    </dataValidation>
    <dataValidation allowBlank="true" errorStyle="stop" operator="between" showDropDown="false" showErrorMessage="false" showInputMessage="false" sqref="C2:C150" type="list">
      <formula1>"Historia,Tarea,Subtarea,Error"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2026-09-23T02:46:14Z</dcterms:created>
  <dc:creator>openpyxl</dc:creator>
  <dc:description/>
  <dc:language>en-US</dc:language>
  <cp:lastModifiedBy>JOREL VARGAS</cp:lastModifiedBy>
  <dcterms:modified xsi:type="dcterms:W3CDTF">2026-09-30T11:41:30Z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